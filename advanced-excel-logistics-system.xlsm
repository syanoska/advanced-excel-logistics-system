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\OneDrive\Desktop\Portfolio\Excel\"/>
    </mc:Choice>
  </mc:AlternateContent>
  <xr:revisionPtr revIDLastSave="0" documentId="13_ncr:1_{DF24AA14-8565-46F4-B610-610C1E5F9795}" xr6:coauthVersionLast="47" xr6:coauthVersionMax="47" xr10:uidLastSave="{00000000-0000-0000-0000-000000000000}"/>
  <bookViews>
    <workbookView xWindow="-120" yWindow="-120" windowWidth="29040" windowHeight="15720" activeTab="1" xr2:uid="{2CCC371B-28B5-496F-B3C6-F4ED4F949FD8}"/>
  </bookViews>
  <sheets>
    <sheet name="Info Page" sheetId="1" r:id="rId1"/>
    <sheet name="Inv Updates" sheetId="7" r:id="rId2"/>
    <sheet name="Usage" sheetId="20" r:id="rId3"/>
  </sheets>
  <definedNames>
    <definedName name="IDate">'Inv Updates'!$B$5:$Y$5</definedName>
    <definedName name="IInst">'Inv Updates'!$B$3:$Y$3</definedName>
    <definedName name="IMenu">'Inv Updates'!$A$6:$A$49</definedName>
    <definedName name="IPop">'Inv Updates'!$B$2:$Y$2</definedName>
    <definedName name="IUpdate">'Inv Updates'!$B$6:$Y$49</definedName>
    <definedName name="OutDate" localSheetId="2">Usage!$E$3:$AF$3</definedName>
    <definedName name="SchedFreq">'Inv Updates'!$B$1:$Y$1</definedName>
    <definedName name="StartInv" localSheetId="2">Usage!$B$5:$B$45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0" l="1"/>
  <c r="E1" i="7"/>
  <c r="C15" i="20"/>
  <c r="C16" i="20"/>
  <c r="E6" i="1"/>
  <c r="E9" i="1"/>
  <c r="E19" i="1"/>
  <c r="E12" i="1"/>
  <c r="E13" i="1"/>
  <c r="E14" i="1"/>
  <c r="E15" i="1"/>
  <c r="E16" i="1"/>
  <c r="E17" i="1"/>
  <c r="E18" i="1"/>
  <c r="E11" i="1"/>
  <c r="E10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9" i="1"/>
  <c r="E40" i="1"/>
  <c r="E41" i="1"/>
  <c r="E42" i="1"/>
  <c r="E43" i="1"/>
  <c r="E44" i="1"/>
  <c r="E45" i="1"/>
  <c r="E46" i="1"/>
  <c r="E47" i="1"/>
  <c r="E48" i="1"/>
  <c r="E49" i="1"/>
  <c r="E21" i="1"/>
  <c r="E20" i="1"/>
  <c r="D1" i="7"/>
  <c r="C3" i="20"/>
  <c r="C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B1" i="7"/>
  <c r="V4" i="7"/>
  <c r="C17" i="20"/>
  <c r="AH32" i="20"/>
  <c r="AH33" i="20"/>
  <c r="AH34" i="20"/>
  <c r="AH35" i="20"/>
  <c r="AH12" i="20"/>
  <c r="AH11" i="20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20" i="1"/>
  <c r="P11" i="1"/>
  <c r="P12" i="1"/>
  <c r="P13" i="1"/>
  <c r="P14" i="1"/>
  <c r="P15" i="1"/>
  <c r="P16" i="1"/>
  <c r="P17" i="1"/>
  <c r="P18" i="1"/>
  <c r="P19" i="1"/>
  <c r="P10" i="1"/>
  <c r="P9" i="1"/>
  <c r="P8" i="1"/>
  <c r="P7" i="1"/>
  <c r="P6" i="1"/>
  <c r="P3" i="1"/>
  <c r="P4" i="1"/>
  <c r="P5" i="1"/>
  <c r="E3" i="1"/>
  <c r="E4" i="1"/>
  <c r="E5" i="1"/>
  <c r="E7" i="1"/>
  <c r="E8" i="1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4" i="20"/>
  <c r="C13" i="20"/>
  <c r="C12" i="20"/>
  <c r="C11" i="20"/>
  <c r="C10" i="20"/>
  <c r="C9" i="20"/>
  <c r="C8" i="20"/>
  <c r="C7" i="20"/>
  <c r="C6" i="20"/>
  <c r="C5" i="20"/>
  <c r="E3" i="20" l="1"/>
  <c r="D4" i="20" s="1"/>
  <c r="D9" i="20" s="1"/>
  <c r="E4" i="20" l="1"/>
  <c r="F3" i="20"/>
  <c r="G3" i="20" s="1"/>
  <c r="H3" i="20" s="1"/>
  <c r="F4" i="20" l="1"/>
  <c r="F7" i="20" s="1"/>
  <c r="G4" i="20"/>
  <c r="I3" i="20"/>
  <c r="H4" i="20"/>
  <c r="J3" i="20" l="1"/>
  <c r="I4" i="20"/>
  <c r="K3" i="20" l="1"/>
  <c r="J4" i="20"/>
  <c r="K4" i="20" l="1"/>
  <c r="L3" i="20"/>
  <c r="M3" i="20" l="1"/>
  <c r="L4" i="20"/>
  <c r="N3" i="20" l="1"/>
  <c r="M4" i="20"/>
  <c r="O3" i="20" l="1"/>
  <c r="N4" i="20"/>
  <c r="O4" i="20" l="1"/>
  <c r="P3" i="20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W4" i="7"/>
  <c r="X4" i="7"/>
  <c r="Y4" i="7"/>
  <c r="B4" i="7"/>
  <c r="Q3" i="20" l="1"/>
  <c r="P4" i="20"/>
  <c r="R3" i="20" l="1"/>
  <c r="Q4" i="20"/>
  <c r="S3" i="20" l="1"/>
  <c r="R4" i="20"/>
  <c r="S4" i="20" l="1"/>
  <c r="T3" i="20"/>
  <c r="U3" i="20" l="1"/>
  <c r="T4" i="20"/>
  <c r="V3" i="20" l="1"/>
  <c r="U4" i="20"/>
  <c r="W3" i="20" l="1"/>
  <c r="V4" i="20"/>
  <c r="W4" i="20" l="1"/>
  <c r="X3" i="20"/>
  <c r="Y3" i="20" l="1"/>
  <c r="X4" i="20"/>
  <c r="Z3" i="20" l="1"/>
  <c r="Y4" i="20"/>
  <c r="AA3" i="20" l="1"/>
  <c r="Z4" i="20"/>
  <c r="AA4" i="20" l="1"/>
  <c r="AB3" i="20"/>
  <c r="AC3" i="20" l="1"/>
  <c r="AB4" i="20"/>
  <c r="AD3" i="20" l="1"/>
  <c r="AC4" i="20"/>
  <c r="AE3" i="20" l="1"/>
  <c r="AD4" i="20"/>
  <c r="AE4" i="20" l="1"/>
  <c r="AF3" i="20"/>
  <c r="AF4" i="20" l="1"/>
  <c r="D21" i="20" l="1"/>
  <c r="D11" i="20"/>
  <c r="D10" i="20"/>
  <c r="D8" i="20"/>
  <c r="D7" i="20"/>
  <c r="D6" i="20"/>
  <c r="D5" i="20"/>
  <c r="E10" i="20"/>
  <c r="E8" i="20"/>
  <c r="E7" i="20"/>
  <c r="E9" i="20"/>
  <c r="E5" i="20"/>
  <c r="E6" i="20"/>
  <c r="G5" i="20"/>
  <c r="G6" i="20"/>
  <c r="F9" i="20"/>
  <c r="G8" i="20"/>
  <c r="H10" i="20"/>
  <c r="H9" i="20"/>
  <c r="F6" i="20"/>
  <c r="G9" i="20"/>
  <c r="F10" i="20"/>
  <c r="G10" i="20"/>
  <c r="G7" i="20"/>
  <c r="F8" i="20"/>
  <c r="H5" i="20"/>
  <c r="H8" i="20"/>
  <c r="F5" i="20"/>
  <c r="H6" i="20"/>
  <c r="H7" i="20"/>
  <c r="I5" i="20"/>
  <c r="I10" i="20"/>
  <c r="I6" i="20"/>
  <c r="I8" i="20"/>
  <c r="I9" i="20"/>
  <c r="I7" i="20"/>
  <c r="J8" i="20"/>
  <c r="J9" i="20"/>
  <c r="J5" i="20"/>
  <c r="J6" i="20"/>
  <c r="J10" i="20"/>
  <c r="J7" i="20"/>
  <c r="K9" i="20"/>
  <c r="K5" i="20"/>
  <c r="K6" i="20"/>
  <c r="K10" i="20"/>
  <c r="K8" i="20"/>
  <c r="K7" i="20"/>
  <c r="L5" i="20"/>
  <c r="L9" i="20"/>
  <c r="L6" i="20"/>
  <c r="L7" i="20"/>
  <c r="L10" i="20"/>
  <c r="L8" i="20"/>
  <c r="M7" i="20"/>
  <c r="M5" i="20"/>
  <c r="M9" i="20"/>
  <c r="M10" i="20"/>
  <c r="M8" i="20"/>
  <c r="M6" i="20"/>
  <c r="N8" i="20"/>
  <c r="N5" i="20"/>
  <c r="N10" i="20"/>
  <c r="N7" i="20"/>
  <c r="N9" i="20"/>
  <c r="N6" i="20"/>
  <c r="O8" i="20"/>
  <c r="O7" i="20"/>
  <c r="O6" i="20"/>
  <c r="O5" i="20"/>
  <c r="O9" i="20"/>
  <c r="O10" i="20"/>
  <c r="P6" i="20"/>
  <c r="P7" i="20"/>
  <c r="P5" i="20"/>
  <c r="P9" i="20"/>
  <c r="P10" i="20"/>
  <c r="P8" i="20"/>
  <c r="Q7" i="20"/>
  <c r="Q8" i="20"/>
  <c r="Q10" i="20"/>
  <c r="Q5" i="20"/>
  <c r="Q9" i="20"/>
  <c r="Q6" i="20"/>
  <c r="R10" i="20"/>
  <c r="R6" i="20"/>
  <c r="R5" i="20"/>
  <c r="R9" i="20"/>
  <c r="R7" i="20"/>
  <c r="R8" i="20"/>
  <c r="S5" i="20"/>
  <c r="S7" i="20"/>
  <c r="S6" i="20"/>
  <c r="S10" i="20"/>
  <c r="S9" i="20"/>
  <c r="S8" i="20"/>
  <c r="T6" i="20"/>
  <c r="T7" i="20"/>
  <c r="T9" i="20"/>
  <c r="T8" i="20"/>
  <c r="T5" i="20"/>
  <c r="T10" i="20"/>
  <c r="U5" i="20"/>
  <c r="U7" i="20"/>
  <c r="U9" i="20"/>
  <c r="U8" i="20"/>
  <c r="U6" i="20"/>
  <c r="U10" i="20"/>
  <c r="V8" i="20"/>
  <c r="V5" i="20"/>
  <c r="V6" i="20"/>
  <c r="V9" i="20"/>
  <c r="V10" i="20"/>
  <c r="V7" i="20"/>
  <c r="W5" i="20"/>
  <c r="W10" i="20"/>
  <c r="W8" i="20"/>
  <c r="W9" i="20"/>
  <c r="W6" i="20"/>
  <c r="W7" i="20"/>
  <c r="X8" i="20"/>
  <c r="X5" i="20"/>
  <c r="X9" i="20"/>
  <c r="X7" i="20"/>
  <c r="X6" i="20"/>
  <c r="X10" i="20"/>
  <c r="Y7" i="20"/>
  <c r="Y5" i="20"/>
  <c r="Y9" i="20"/>
  <c r="Y8" i="20"/>
  <c r="Y6" i="20"/>
  <c r="Y10" i="20"/>
  <c r="Z5" i="20"/>
  <c r="Z7" i="20"/>
  <c r="Z6" i="20"/>
  <c r="Z9" i="20"/>
  <c r="Z8" i="20"/>
  <c r="Z10" i="20"/>
  <c r="AA7" i="20"/>
  <c r="AA6" i="20"/>
  <c r="AA5" i="20"/>
  <c r="AA9" i="20"/>
  <c r="AA8" i="20"/>
  <c r="AA10" i="20"/>
  <c r="AB6" i="20"/>
  <c r="AB10" i="20"/>
  <c r="AB8" i="20"/>
  <c r="AB7" i="20"/>
  <c r="AB5" i="20"/>
  <c r="AB9" i="20"/>
  <c r="AC8" i="20"/>
  <c r="AC6" i="20"/>
  <c r="AC10" i="20"/>
  <c r="AC5" i="20"/>
  <c r="AC9" i="20"/>
  <c r="AC7" i="20"/>
  <c r="AD6" i="20"/>
  <c r="AD7" i="20"/>
  <c r="AD8" i="20"/>
  <c r="AD9" i="20"/>
  <c r="AD10" i="20"/>
  <c r="AD5" i="20"/>
  <c r="AE5" i="20"/>
  <c r="AE9" i="20"/>
  <c r="AE6" i="20"/>
  <c r="AE7" i="20"/>
  <c r="AE8" i="20"/>
  <c r="AE10" i="20"/>
  <c r="AF10" i="20"/>
  <c r="AF5" i="20"/>
  <c r="AF9" i="20"/>
  <c r="AF8" i="20"/>
  <c r="AF6" i="20"/>
  <c r="AF7" i="20"/>
  <c r="I21" i="20"/>
  <c r="O21" i="20"/>
  <c r="S21" i="20"/>
  <c r="W11" i="20"/>
  <c r="W21" i="20"/>
  <c r="E21" i="20"/>
  <c r="E11" i="20"/>
  <c r="H21" i="20"/>
  <c r="G21" i="20"/>
  <c r="F21" i="20"/>
  <c r="J21" i="20"/>
  <c r="K21" i="20"/>
  <c r="L21" i="20"/>
  <c r="M21" i="20"/>
  <c r="N21" i="20"/>
  <c r="P21" i="20"/>
  <c r="Q21" i="20"/>
  <c r="R21" i="20"/>
  <c r="T21" i="20"/>
  <c r="U21" i="20"/>
  <c r="V21" i="20"/>
  <c r="X21" i="20"/>
  <c r="Y21" i="20"/>
  <c r="Z21" i="20"/>
  <c r="AA21" i="20"/>
  <c r="AB21" i="20"/>
  <c r="AC21" i="20"/>
  <c r="AD21" i="20"/>
  <c r="AE21" i="20"/>
  <c r="AF21" i="20"/>
  <c r="H11" i="20"/>
  <c r="G11" i="20"/>
  <c r="F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X11" i="20"/>
  <c r="Y11" i="20"/>
  <c r="Z11" i="20"/>
  <c r="AA11" i="20"/>
  <c r="AB11" i="20"/>
  <c r="AC11" i="20"/>
  <c r="AD11" i="20"/>
  <c r="AE11" i="20"/>
  <c r="AF11" i="20"/>
  <c r="AG21" i="20" l="1"/>
  <c r="AG6" i="20"/>
  <c r="AG8" i="20"/>
  <c r="AG9" i="20"/>
  <c r="AG5" i="20"/>
  <c r="AH5" i="20" s="1"/>
  <c r="AG7" i="20"/>
  <c r="AG10" i="20"/>
  <c r="AG11" i="20"/>
  <c r="AI17" i="20" s="1"/>
  <c r="AI36" i="20" l="1"/>
  <c r="AJ36" i="20" s="1"/>
  <c r="AI37" i="20"/>
  <c r="AJ37" i="20" s="1"/>
  <c r="AH18" i="20"/>
  <c r="AH16" i="20"/>
  <c r="AH17" i="20"/>
  <c r="AH13" i="20"/>
  <c r="AH15" i="20"/>
  <c r="AH14" i="20"/>
  <c r="AH41" i="20"/>
  <c r="AH42" i="20"/>
  <c r="AH43" i="20"/>
  <c r="AH36" i="20"/>
  <c r="AH44" i="20"/>
  <c r="AH40" i="20"/>
  <c r="AH37" i="20"/>
  <c r="AH38" i="20"/>
  <c r="AH39" i="20"/>
  <c r="AH45" i="20"/>
  <c r="AI15" i="20"/>
  <c r="AJ15" i="20" s="1"/>
  <c r="AJ17" i="20"/>
  <c r="AI13" i="20"/>
  <c r="AJ13" i="20" s="1"/>
  <c r="AI14" i="20"/>
  <c r="AJ14" i="20" s="1"/>
  <c r="AI16" i="20"/>
  <c r="AJ16" i="20" s="1"/>
  <c r="AI18" i="20"/>
  <c r="AJ18" i="20" s="1"/>
  <c r="AH19" i="20"/>
  <c r="AI19" i="20"/>
  <c r="AJ19" i="20" s="1"/>
  <c r="AI20" i="20"/>
  <c r="AJ20" i="20" s="1"/>
  <c r="AI11" i="20"/>
  <c r="AH20" i="20"/>
  <c r="AI12" i="20"/>
  <c r="AJ12" i="20" s="1"/>
  <c r="AI24" i="20"/>
  <c r="AJ24" i="20" s="1"/>
  <c r="AH26" i="20"/>
  <c r="AI25" i="20"/>
  <c r="AJ25" i="20" s="1"/>
  <c r="AH27" i="20"/>
  <c r="AI26" i="20"/>
  <c r="AJ26" i="20" s="1"/>
  <c r="AI38" i="20"/>
  <c r="AJ38" i="20" s="1"/>
  <c r="AH28" i="20"/>
  <c r="AI27" i="20"/>
  <c r="AJ27" i="20" s="1"/>
  <c r="AI39" i="20"/>
  <c r="AJ39" i="20" s="1"/>
  <c r="AH29" i="20"/>
  <c r="AI28" i="20"/>
  <c r="AJ28" i="20" s="1"/>
  <c r="AI40" i="20"/>
  <c r="AJ40" i="20" s="1"/>
  <c r="AH30" i="20"/>
  <c r="AI29" i="20"/>
  <c r="AJ29" i="20" s="1"/>
  <c r="AI41" i="20"/>
  <c r="AJ41" i="20" s="1"/>
  <c r="AH31" i="20"/>
  <c r="AI30" i="20"/>
  <c r="AJ30" i="20" s="1"/>
  <c r="AI42" i="20"/>
  <c r="AJ42" i="20" s="1"/>
  <c r="AI44" i="20"/>
  <c r="AJ44" i="20" s="1"/>
  <c r="AI22" i="20"/>
  <c r="AJ22" i="20" s="1"/>
  <c r="AI34" i="20"/>
  <c r="AJ34" i="20" s="1"/>
  <c r="AI21" i="20"/>
  <c r="AH24" i="20"/>
  <c r="AH25" i="20"/>
  <c r="AI31" i="20"/>
  <c r="AJ31" i="20" s="1"/>
  <c r="AI43" i="20"/>
  <c r="AJ43" i="20" s="1"/>
  <c r="AI32" i="20"/>
  <c r="AJ32" i="20" s="1"/>
  <c r="AH22" i="20"/>
  <c r="AH21" i="20"/>
  <c r="AI33" i="20"/>
  <c r="AJ33" i="20" s="1"/>
  <c r="AI45" i="20"/>
  <c r="AJ45" i="20" s="1"/>
  <c r="AH23" i="20"/>
  <c r="AI23" i="20"/>
  <c r="AJ23" i="20" s="1"/>
  <c r="AI35" i="20"/>
  <c r="AJ35" i="20" s="1"/>
  <c r="AI6" i="20"/>
  <c r="AH6" i="20"/>
  <c r="AI10" i="20"/>
  <c r="AH10" i="20"/>
  <c r="AI8" i="20"/>
  <c r="AH8" i="20"/>
  <c r="AI9" i="20"/>
  <c r="AH9" i="20"/>
  <c r="AI7" i="20"/>
  <c r="AH7" i="20"/>
  <c r="AI5" i="20"/>
  <c r="AJ11" i="20" l="1"/>
  <c r="AK11" i="20" s="1"/>
  <c r="AJ21" i="20"/>
  <c r="AJ5" i="20"/>
  <c r="AK5" i="20" s="1"/>
  <c r="AJ7" i="20"/>
  <c r="AK7" i="20" s="1"/>
  <c r="AJ8" i="20"/>
  <c r="AK8" i="20" s="1"/>
  <c r="AJ10" i="20"/>
  <c r="AK10" i="20" s="1"/>
  <c r="AJ9" i="20"/>
  <c r="AK9" i="20" s="1"/>
  <c r="AJ6" i="20"/>
  <c r="AK6" i="20" s="1"/>
  <c r="AK21" i="20" l="1"/>
</calcChain>
</file>

<file path=xl/sharedStrings.xml><?xml version="1.0" encoding="utf-8"?>
<sst xmlns="http://schemas.openxmlformats.org/spreadsheetml/2006/main" count="348" uniqueCount="111">
  <si>
    <t>Sealed Religious Diet Menu</t>
  </si>
  <si>
    <t>Menu Item</t>
  </si>
  <si>
    <t>Units/mo</t>
  </si>
  <si>
    <t>Units/cs</t>
  </si>
  <si>
    <t>Shipping?</t>
  </si>
  <si>
    <t>Yakisoba</t>
  </si>
  <si>
    <t>Y</t>
  </si>
  <si>
    <t>Pinto Beans</t>
  </si>
  <si>
    <t>Creole Macaroni</t>
  </si>
  <si>
    <t>Texas Hash</t>
  </si>
  <si>
    <t>Taco Casserole</t>
  </si>
  <si>
    <t>Great Northern Bean</t>
  </si>
  <si>
    <t>Sloppy Joe</t>
  </si>
  <si>
    <t>Navy Beans</t>
  </si>
  <si>
    <t>Omelet</t>
  </si>
  <si>
    <t>Tuna</t>
  </si>
  <si>
    <t>Peanut Butter</t>
  </si>
  <si>
    <t>Coffee</t>
  </si>
  <si>
    <t>Oatmeal Cream Pie</t>
  </si>
  <si>
    <t>Beans &amp; Franks</t>
  </si>
  <si>
    <t>N</t>
  </si>
  <si>
    <t>Spaghetti w/Meatball</t>
  </si>
  <si>
    <t>V. Stuffed Cabbage</t>
  </si>
  <si>
    <t>V. Chili</t>
  </si>
  <si>
    <t>V. Chicken Cutlet</t>
  </si>
  <si>
    <t>V. Protein Lasagna</t>
  </si>
  <si>
    <t>NY Spaghetti</t>
  </si>
  <si>
    <t>NY Chili</t>
  </si>
  <si>
    <t>Breakfast Menu</t>
  </si>
  <si>
    <t>Units/wk</t>
  </si>
  <si>
    <t>Eggs</t>
  </si>
  <si>
    <t>Farina</t>
  </si>
  <si>
    <t>Oatmeal</t>
  </si>
  <si>
    <t>Bread</t>
  </si>
  <si>
    <t>Common Fare Menu</t>
  </si>
  <si>
    <t>Inv.</t>
  </si>
  <si>
    <t>BCC</t>
  </si>
  <si>
    <t>GCC</t>
  </si>
  <si>
    <t>HCC</t>
  </si>
  <si>
    <t>LCC</t>
  </si>
  <si>
    <t>MCTC</t>
  </si>
  <si>
    <t>NCC</t>
  </si>
  <si>
    <t>SXII</t>
  </si>
  <si>
    <t>Kidney Beans</t>
  </si>
  <si>
    <t>Date</t>
  </si>
  <si>
    <t>R/sv</t>
  </si>
  <si>
    <t>Sh/cs</t>
  </si>
  <si>
    <t>Shredded Cheese</t>
  </si>
  <si>
    <t>IE Chili Con Carne</t>
  </si>
  <si>
    <t>IE Chili Macaroni</t>
  </si>
  <si>
    <t>IE Navy Bean Soup</t>
  </si>
  <si>
    <t>IE Taco Casserole</t>
  </si>
  <si>
    <t>IE Sloppy Joe</t>
  </si>
  <si>
    <t>IE Meat Sauce/Pasta</t>
  </si>
  <si>
    <t>IE Creole Mac</t>
  </si>
  <si>
    <t>IE Chili Beans</t>
  </si>
  <si>
    <t>IE Texas Hash</t>
  </si>
  <si>
    <t>IE Yakisoba</t>
  </si>
  <si>
    <t>IE Turkey Pasta</t>
  </si>
  <si>
    <t>Tuna Hash</t>
  </si>
  <si>
    <t>Update</t>
  </si>
  <si>
    <t>IM Beef Stroganoff</t>
  </si>
  <si>
    <t>IM Chili</t>
  </si>
  <si>
    <t>IM Spaghetti</t>
  </si>
  <si>
    <t>IM Sweet/Sour</t>
  </si>
  <si>
    <t>IM Yakisoba</t>
  </si>
  <si>
    <t>IM Texas Hash</t>
  </si>
  <si>
    <t>IM Raging Cajun</t>
  </si>
  <si>
    <t>Unit</t>
  </si>
  <si>
    <t>Case</t>
  </si>
  <si>
    <t>Turkey Salisbury</t>
  </si>
  <si>
    <t>Breaded Ch Patty</t>
  </si>
  <si>
    <t>Beef CFS</t>
  </si>
  <si>
    <t>Beef Salisbury</t>
  </si>
  <si>
    <t>Chicken Meatloaf</t>
  </si>
  <si>
    <t>Meats</t>
  </si>
  <si>
    <t>Vegan</t>
  </si>
  <si>
    <t>Misc</t>
  </si>
  <si>
    <t>Pct</t>
  </si>
  <si>
    <t>ACC</t>
  </si>
  <si>
    <t>These tables have information on the different meals</t>
  </si>
  <si>
    <t>Each cycle ships different items, and the shipping</t>
  </si>
  <si>
    <t>columns determine what items show to be shipped</t>
  </si>
  <si>
    <t>in the Usage worksheet</t>
  </si>
  <si>
    <t>under strict religious specifications.</t>
  </si>
  <si>
    <t>keep track of the highlighted cell whenever this table is in use</t>
  </si>
  <si>
    <t>entering data. It's a lot of information at once, which is why I used a macro trick to help</t>
  </si>
  <si>
    <t>The logistics manager wanted to be able to see the entire inventory statewide when</t>
  </si>
  <si>
    <t>This worksheet shows current inventory (yellow)</t>
  </si>
  <si>
    <t>how much needs to be shipped (blue)</t>
  </si>
  <si>
    <t>how much they will have at the end of the cycle (green)</t>
  </si>
  <si>
    <t>It pulls data from both previous worksheets</t>
  </si>
  <si>
    <t>and, depending on the date of their last inventory update,</t>
  </si>
  <si>
    <t>calculates how much they will need shipped for the next cycle</t>
  </si>
  <si>
    <t>&lt;------Choose Institution from C2 Dropdown to see inventory and shipping info</t>
  </si>
  <si>
    <t>CCC</t>
  </si>
  <si>
    <t>DCC</t>
  </si>
  <si>
    <t>ECC</t>
  </si>
  <si>
    <t>FCC</t>
  </si>
  <si>
    <t>ICC</t>
  </si>
  <si>
    <t>JCC</t>
  </si>
  <si>
    <t>KCC</t>
  </si>
  <si>
    <t>MCC</t>
  </si>
  <si>
    <t>OCC</t>
  </si>
  <si>
    <t>PCC</t>
  </si>
  <si>
    <t>QCC</t>
  </si>
  <si>
    <t>RCC</t>
  </si>
  <si>
    <t>SCC</t>
  </si>
  <si>
    <t>TCC</t>
  </si>
  <si>
    <t>UCC</t>
  </si>
  <si>
    <t>VCC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</si>
</sst>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\-dd"/>
    <numFmt numFmtId="165" formatCode="0.000000"/>
    <numFmt numFmtId="166" formatCode="0.0000000"/>
    <numFmt numFmtId="167" formatCode="0.000000000"/>
    <numFmt numFmtId="168" formatCode="0.0000"/>
  </numFmts>
  <fonts count="1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1" fontId="2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2" fillId="6" borderId="13" xfId="0" applyFont="1" applyFill="1" applyBorder="1"/>
    <xf numFmtId="0" fontId="2" fillId="6" borderId="12" xfId="0" applyFont="1" applyFill="1" applyBorder="1"/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164" fontId="5" fillId="7" borderId="7" xfId="0" applyNumberFormat="1" applyFont="1" applyFill="1" applyBorder="1" applyAlignment="1">
      <alignment horizontal="center" vertical="center"/>
    </xf>
    <xf numFmtId="0" fontId="2" fillId="6" borderId="16" xfId="0" applyFont="1" applyFill="1" applyBorder="1"/>
    <xf numFmtId="0" fontId="2" fillId="6" borderId="22" xfId="0" applyFont="1" applyFill="1" applyBorder="1"/>
    <xf numFmtId="0" fontId="2" fillId="6" borderId="17" xfId="0" quotePrefix="1" applyFont="1" applyFill="1" applyBorder="1" applyAlignment="1">
      <alignment horizontal="center"/>
    </xf>
    <xf numFmtId="0" fontId="2" fillId="6" borderId="23" xfId="0" quotePrefix="1" applyFont="1" applyFill="1" applyBorder="1" applyAlignment="1">
      <alignment horizontal="center"/>
    </xf>
    <xf numFmtId="164" fontId="2" fillId="6" borderId="17" xfId="0" applyNumberFormat="1" applyFont="1" applyFill="1" applyBorder="1" applyAlignment="1">
      <alignment horizontal="center"/>
    </xf>
    <xf numFmtId="164" fontId="2" fillId="6" borderId="23" xfId="0" applyNumberFormat="1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" fillId="6" borderId="18" xfId="0" applyFont="1" applyFill="1" applyBorder="1"/>
    <xf numFmtId="0" fontId="2" fillId="6" borderId="25" xfId="0" applyFont="1" applyFill="1" applyBorder="1"/>
    <xf numFmtId="0" fontId="2" fillId="0" borderId="7" xfId="0" applyFont="1" applyBorder="1" applyAlignment="1">
      <alignment horizontal="center" vertical="center"/>
    </xf>
    <xf numFmtId="0" fontId="2" fillId="8" borderId="12" xfId="0" quotePrefix="1" applyFont="1" applyFill="1" applyBorder="1" applyAlignment="1">
      <alignment horizontal="center" vertical="center"/>
    </xf>
    <xf numFmtId="0" fontId="2" fillId="8" borderId="22" xfId="0" quotePrefix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8" borderId="25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right" vertical="center"/>
    </xf>
    <xf numFmtId="1" fontId="2" fillId="4" borderId="4" xfId="0" applyNumberFormat="1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right" vertical="center"/>
    </xf>
    <xf numFmtId="1" fontId="2" fillId="4" borderId="5" xfId="0" applyNumberFormat="1" applyFont="1" applyFill="1" applyBorder="1" applyAlignment="1">
      <alignment horizontal="right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1" fontId="2" fillId="3" borderId="4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" fillId="8" borderId="5" xfId="0" applyFont="1" applyFill="1" applyBorder="1" applyAlignment="1">
      <alignment horizontal="center" vertical="center"/>
    </xf>
    <xf numFmtId="164" fontId="2" fillId="8" borderId="6" xfId="0" applyNumberFormat="1" applyFont="1" applyFill="1" applyBorder="1" applyAlignment="1">
      <alignment horizontal="center" vertical="center"/>
    </xf>
    <xf numFmtId="0" fontId="2" fillId="8" borderId="16" xfId="0" quotePrefix="1" applyFont="1" applyFill="1" applyBorder="1" applyAlignment="1">
      <alignment horizontal="center" vertical="center"/>
    </xf>
    <xf numFmtId="164" fontId="2" fillId="8" borderId="18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0" fontId="0" fillId="0" borderId="0" xfId="1" applyNumberFormat="1" applyFont="1"/>
    <xf numFmtId="10" fontId="8" fillId="0" borderId="0" xfId="1" applyNumberFormat="1" applyFont="1" applyAlignment="1">
      <alignment horizontal="right"/>
    </xf>
    <xf numFmtId="1" fontId="2" fillId="4" borderId="32" xfId="0" applyNumberFormat="1" applyFont="1" applyFill="1" applyBorder="1" applyAlignment="1">
      <alignment horizontal="right" vertical="center"/>
    </xf>
    <xf numFmtId="0" fontId="2" fillId="5" borderId="32" xfId="0" applyFont="1" applyFill="1" applyBorder="1" applyAlignment="1">
      <alignment horizontal="right" vertical="center"/>
    </xf>
    <xf numFmtId="0" fontId="2" fillId="5" borderId="34" xfId="0" applyFont="1" applyFill="1" applyBorder="1" applyAlignment="1">
      <alignment horizontal="right" vertical="center"/>
    </xf>
    <xf numFmtId="164" fontId="3" fillId="0" borderId="0" xfId="0" applyNumberFormat="1" applyFont="1" applyAlignment="1">
      <alignment horizontal="center"/>
    </xf>
    <xf numFmtId="0" fontId="9" fillId="0" borderId="0" xfId="0" applyFont="1"/>
    <xf numFmtId="0" fontId="3" fillId="2" borderId="13" xfId="0" applyFont="1" applyFill="1" applyBorder="1"/>
    <xf numFmtId="164" fontId="3" fillId="2" borderId="13" xfId="0" applyNumberFormat="1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4" xfId="0" applyFont="1" applyBorder="1"/>
    <xf numFmtId="0" fontId="2" fillId="4" borderId="2" xfId="0" applyFont="1" applyFill="1" applyBorder="1" applyAlignment="1">
      <alignment horizontal="center"/>
    </xf>
    <xf numFmtId="0" fontId="2" fillId="4" borderId="36" xfId="0" applyFont="1" applyFill="1" applyBorder="1" applyAlignment="1">
      <alignment horizontal="center"/>
    </xf>
    <xf numFmtId="0" fontId="2" fillId="4" borderId="4" xfId="0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1" fontId="2" fillId="0" borderId="26" xfId="0" applyNumberFormat="1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32" xfId="0" applyFont="1" applyBorder="1" applyAlignment="1">
      <alignment vertical="center"/>
    </xf>
    <xf numFmtId="1" fontId="2" fillId="3" borderId="32" xfId="0" applyNumberFormat="1" applyFont="1" applyFill="1" applyBorder="1" applyAlignment="1">
      <alignment horizontal="center" vertical="center"/>
    </xf>
    <xf numFmtId="0" fontId="2" fillId="0" borderId="34" xfId="0" applyFont="1" applyBorder="1" applyAlignment="1">
      <alignment vertical="center"/>
    </xf>
    <xf numFmtId="1" fontId="2" fillId="3" borderId="34" xfId="0" applyNumberFormat="1" applyFont="1" applyFill="1" applyBorder="1" applyAlignment="1">
      <alignment horizontal="center" vertical="center"/>
    </xf>
    <xf numFmtId="1" fontId="2" fillId="0" borderId="0" xfId="0" applyNumberFormat="1" applyFont="1"/>
    <xf numFmtId="168" fontId="2" fillId="0" borderId="0" xfId="0" applyNumberFormat="1" applyFont="1" applyAlignment="1">
      <alignment horizontal="center"/>
    </xf>
    <xf numFmtId="168" fontId="2" fillId="0" borderId="0" xfId="0" applyNumberFormat="1" applyFont="1"/>
    <xf numFmtId="0" fontId="1" fillId="0" borderId="0" xfId="0" applyFont="1" applyAlignment="1">
      <alignment horizontal="centerContinuous" vertical="center"/>
    </xf>
    <xf numFmtId="0" fontId="2" fillId="6" borderId="32" xfId="0" applyFont="1" applyFill="1" applyBorder="1" applyAlignment="1">
      <alignment horizontal="center"/>
    </xf>
    <xf numFmtId="0" fontId="0" fillId="0" borderId="13" xfId="0" applyBorder="1" applyAlignment="1">
      <alignment vertical="center" wrapText="1"/>
    </xf>
    <xf numFmtId="0" fontId="0" fillId="0" borderId="13" xfId="0" applyBorder="1" applyAlignment="1">
      <alignment horizontal="right" vertical="center" wrapText="1"/>
    </xf>
    <xf numFmtId="0" fontId="0" fillId="0" borderId="13" xfId="0" applyBorder="1" applyAlignment="1">
      <alignment horizontal="center"/>
    </xf>
    <xf numFmtId="0" fontId="0" fillId="0" borderId="13" xfId="0" applyBorder="1"/>
    <xf numFmtId="10" fontId="0" fillId="0" borderId="0" xfId="1" applyNumberFormat="1" applyFont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0" fillId="0" borderId="13" xfId="1" applyNumberFormat="1" applyFont="1" applyBorder="1" applyAlignment="1">
      <alignment horizontal="center"/>
    </xf>
    <xf numFmtId="10" fontId="0" fillId="0" borderId="13" xfId="1" applyNumberFormat="1" applyFont="1" applyBorder="1"/>
    <xf numFmtId="0" fontId="2" fillId="4" borderId="11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" fontId="11" fillId="10" borderId="16" xfId="0" applyNumberFormat="1" applyFont="1" applyFill="1" applyBorder="1"/>
    <xf numFmtId="0" fontId="11" fillId="10" borderId="12" xfId="0" applyFont="1" applyFill="1" applyBorder="1"/>
    <xf numFmtId="0" fontId="11" fillId="10" borderId="22" xfId="0" applyFont="1" applyFill="1" applyBorder="1"/>
    <xf numFmtId="1" fontId="11" fillId="10" borderId="17" xfId="0" applyNumberFormat="1" applyFont="1" applyFill="1" applyBorder="1"/>
    <xf numFmtId="0" fontId="11" fillId="10" borderId="0" xfId="0" applyFont="1" applyFill="1"/>
    <xf numFmtId="0" fontId="11" fillId="10" borderId="23" xfId="0" applyFont="1" applyFill="1" applyBorder="1"/>
    <xf numFmtId="1" fontId="11" fillId="10" borderId="18" xfId="0" applyNumberFormat="1" applyFont="1" applyFill="1" applyBorder="1"/>
    <xf numFmtId="0" fontId="11" fillId="10" borderId="13" xfId="0" applyFont="1" applyFill="1" applyBorder="1"/>
    <xf numFmtId="0" fontId="11" fillId="10" borderId="25" xfId="0" applyFont="1" applyFill="1" applyBorder="1"/>
    <xf numFmtId="0" fontId="12" fillId="10" borderId="16" xfId="0" applyFont="1" applyFill="1" applyBorder="1"/>
    <xf numFmtId="0" fontId="12" fillId="10" borderId="12" xfId="0" applyFont="1" applyFill="1" applyBorder="1"/>
    <xf numFmtId="0" fontId="2" fillId="10" borderId="22" xfId="0" applyFont="1" applyFill="1" applyBorder="1"/>
    <xf numFmtId="0" fontId="12" fillId="10" borderId="17" xfId="0" applyFont="1" applyFill="1" applyBorder="1"/>
    <xf numFmtId="0" fontId="12" fillId="10" borderId="0" xfId="0" applyFont="1" applyFill="1"/>
    <xf numFmtId="0" fontId="2" fillId="10" borderId="23" xfId="0" applyFont="1" applyFill="1" applyBorder="1"/>
    <xf numFmtId="0" fontId="12" fillId="10" borderId="18" xfId="0" applyFont="1" applyFill="1" applyBorder="1"/>
    <xf numFmtId="0" fontId="12" fillId="10" borderId="13" xfId="0" applyFont="1" applyFill="1" applyBorder="1"/>
    <xf numFmtId="0" fontId="2" fillId="10" borderId="25" xfId="0" applyFont="1" applyFill="1" applyBorder="1"/>
    <xf numFmtId="1" fontId="12" fillId="10" borderId="16" xfId="0" applyNumberFormat="1" applyFont="1" applyFill="1" applyBorder="1" applyAlignment="1">
      <alignment horizontal="left"/>
    </xf>
    <xf numFmtId="1" fontId="12" fillId="10" borderId="12" xfId="0" applyNumberFormat="1" applyFont="1" applyFill="1" applyBorder="1" applyAlignment="1">
      <alignment horizontal="right"/>
    </xf>
    <xf numFmtId="1" fontId="12" fillId="10" borderId="12" xfId="0" applyNumberFormat="1" applyFont="1" applyFill="1" applyBorder="1" applyAlignment="1">
      <alignment horizontal="center"/>
    </xf>
    <xf numFmtId="1" fontId="12" fillId="10" borderId="22" xfId="0" applyNumberFormat="1" applyFont="1" applyFill="1" applyBorder="1" applyAlignment="1">
      <alignment horizontal="center"/>
    </xf>
    <xf numFmtId="1" fontId="12" fillId="10" borderId="17" xfId="0" applyNumberFormat="1" applyFont="1" applyFill="1" applyBorder="1" applyAlignment="1">
      <alignment horizontal="left"/>
    </xf>
    <xf numFmtId="1" fontId="12" fillId="10" borderId="0" xfId="0" applyNumberFormat="1" applyFont="1" applyFill="1" applyAlignment="1">
      <alignment horizontal="right"/>
    </xf>
    <xf numFmtId="1" fontId="12" fillId="10" borderId="0" xfId="0" applyNumberFormat="1" applyFont="1" applyFill="1" applyAlignment="1">
      <alignment horizontal="center"/>
    </xf>
    <xf numFmtId="1" fontId="12" fillId="10" borderId="23" xfId="0" applyNumberFormat="1" applyFont="1" applyFill="1" applyBorder="1" applyAlignment="1">
      <alignment horizontal="center"/>
    </xf>
    <xf numFmtId="1" fontId="12" fillId="10" borderId="18" xfId="0" applyNumberFormat="1" applyFont="1" applyFill="1" applyBorder="1" applyAlignment="1">
      <alignment horizontal="left"/>
    </xf>
    <xf numFmtId="1" fontId="12" fillId="10" borderId="13" xfId="0" applyNumberFormat="1" applyFont="1" applyFill="1" applyBorder="1" applyAlignment="1">
      <alignment horizontal="right"/>
    </xf>
    <xf numFmtId="1" fontId="12" fillId="10" borderId="13" xfId="0" applyNumberFormat="1" applyFont="1" applyFill="1" applyBorder="1" applyAlignment="1">
      <alignment horizontal="center"/>
    </xf>
    <xf numFmtId="1" fontId="12" fillId="10" borderId="25" xfId="0" applyNumberFormat="1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9" borderId="12" xfId="0" quotePrefix="1" applyFont="1" applyFill="1" applyBorder="1" applyAlignment="1">
      <alignment horizontal="center" vertical="center"/>
    </xf>
    <xf numFmtId="0" fontId="2" fillId="9" borderId="26" xfId="0" quotePrefix="1" applyFont="1" applyFill="1" applyBorder="1" applyAlignment="1">
      <alignment horizontal="center" vertical="center"/>
    </xf>
    <xf numFmtId="0" fontId="2" fillId="9" borderId="39" xfId="0" quotePrefix="1" applyFont="1" applyFill="1" applyBorder="1" applyAlignment="1">
      <alignment horizontal="center" vertical="center"/>
    </xf>
    <xf numFmtId="164" fontId="2" fillId="9" borderId="29" xfId="0" applyNumberFormat="1" applyFont="1" applyFill="1" applyBorder="1" applyAlignment="1">
      <alignment horizontal="center" vertical="center"/>
    </xf>
    <xf numFmtId="164" fontId="2" fillId="9" borderId="0" xfId="0" applyNumberFormat="1" applyFont="1" applyFill="1" applyAlignment="1">
      <alignment horizontal="center" vertical="center"/>
    </xf>
    <xf numFmtId="164" fontId="2" fillId="9" borderId="2" xfId="0" applyNumberFormat="1" applyFont="1" applyFill="1" applyBorder="1" applyAlignment="1">
      <alignment horizontal="center" vertical="center"/>
    </xf>
    <xf numFmtId="164" fontId="2" fillId="9" borderId="36" xfId="0" applyNumberFormat="1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1" fontId="2" fillId="9" borderId="30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Alignment="1">
      <alignment horizontal="center" vertical="center"/>
    </xf>
    <xf numFmtId="1" fontId="2" fillId="9" borderId="2" xfId="0" applyNumberFormat="1" applyFont="1" applyFill="1" applyBorder="1" applyAlignment="1">
      <alignment horizontal="center" vertical="center"/>
    </xf>
    <xf numFmtId="1" fontId="2" fillId="9" borderId="36" xfId="0" applyNumberFormat="1" applyFont="1" applyFill="1" applyBorder="1" applyAlignment="1">
      <alignment horizontal="right" vertical="center"/>
    </xf>
    <xf numFmtId="1" fontId="2" fillId="9" borderId="0" xfId="0" applyNumberFormat="1" applyFont="1" applyFill="1" applyAlignment="1">
      <alignment horizontal="right" vertical="center"/>
    </xf>
    <xf numFmtId="1" fontId="2" fillId="9" borderId="31" xfId="0" applyNumberFormat="1" applyFont="1" applyFill="1" applyBorder="1" applyAlignment="1">
      <alignment horizontal="center" vertical="center"/>
    </xf>
    <xf numFmtId="1" fontId="2" fillId="9" borderId="42" xfId="0" applyNumberFormat="1" applyFont="1" applyFill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1" fontId="2" fillId="9" borderId="19" xfId="0" applyNumberFormat="1" applyFont="1" applyFill="1" applyBorder="1" applyAlignment="1">
      <alignment horizontal="center" vertical="center"/>
    </xf>
    <xf numFmtId="1" fontId="2" fillId="9" borderId="43" xfId="0" applyNumberFormat="1" applyFont="1" applyFill="1" applyBorder="1" applyAlignment="1">
      <alignment horizontal="right" vertical="center"/>
    </xf>
    <xf numFmtId="1" fontId="2" fillId="9" borderId="46" xfId="0" applyNumberFormat="1" applyFont="1" applyFill="1" applyBorder="1" applyAlignment="1">
      <alignment horizontal="right" vertical="center"/>
    </xf>
    <xf numFmtId="1" fontId="2" fillId="9" borderId="23" xfId="0" applyNumberFormat="1" applyFont="1" applyFill="1" applyBorder="1" applyAlignment="1">
      <alignment horizontal="right" vertical="center"/>
    </xf>
    <xf numFmtId="1" fontId="2" fillId="9" borderId="33" xfId="0" applyNumberFormat="1" applyFont="1" applyFill="1" applyBorder="1" applyAlignment="1">
      <alignment horizontal="right" vertical="center"/>
    </xf>
    <xf numFmtId="1" fontId="2" fillId="9" borderId="47" xfId="0" applyNumberFormat="1" applyFont="1" applyFill="1" applyBorder="1" applyAlignment="1">
      <alignment horizontal="right" vertical="center"/>
    </xf>
    <xf numFmtId="164" fontId="2" fillId="9" borderId="13" xfId="0" applyNumberFormat="1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2" xfId="0" applyFont="1" applyFill="1" applyBorder="1" applyAlignment="1">
      <alignment horizontal="right" vertical="center"/>
    </xf>
    <xf numFmtId="0" fontId="2" fillId="9" borderId="0" xfId="0" applyFont="1" applyFill="1" applyAlignment="1">
      <alignment horizontal="right" vertical="center"/>
    </xf>
    <xf numFmtId="0" fontId="2" fillId="9" borderId="33" xfId="0" applyFont="1" applyFill="1" applyBorder="1" applyAlignment="1">
      <alignment horizontal="right" vertical="center"/>
    </xf>
    <xf numFmtId="0" fontId="2" fillId="9" borderId="23" xfId="0" applyFont="1" applyFill="1" applyBorder="1" applyAlignment="1">
      <alignment horizontal="right" vertical="center"/>
    </xf>
    <xf numFmtId="0" fontId="2" fillId="9" borderId="35" xfId="0" applyFont="1" applyFill="1" applyBorder="1" applyAlignment="1">
      <alignment horizontal="right" vertical="center"/>
    </xf>
    <xf numFmtId="0" fontId="2" fillId="9" borderId="5" xfId="0" applyFont="1" applyFill="1" applyBorder="1" applyAlignment="1">
      <alignment horizontal="right" vertical="center"/>
    </xf>
    <xf numFmtId="0" fontId="2" fillId="9" borderId="13" xfId="0" applyFont="1" applyFill="1" applyBorder="1" applyAlignment="1">
      <alignment horizontal="right" vertical="center"/>
    </xf>
    <xf numFmtId="1" fontId="2" fillId="9" borderId="35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1" fontId="2" fillId="9" borderId="13" xfId="0" applyNumberFormat="1" applyFont="1" applyFill="1" applyBorder="1" applyAlignment="1">
      <alignment horizontal="center" vertical="center"/>
    </xf>
    <xf numFmtId="1" fontId="2" fillId="9" borderId="44" xfId="0" applyNumberFormat="1" applyFont="1" applyFill="1" applyBorder="1" applyAlignment="1">
      <alignment horizontal="center" vertical="center"/>
    </xf>
    <xf numFmtId="1" fontId="2" fillId="9" borderId="2" xfId="0" applyNumberFormat="1" applyFont="1" applyFill="1" applyBorder="1" applyAlignment="1">
      <alignment horizontal="center" vertical="center"/>
    </xf>
    <xf numFmtId="1" fontId="2" fillId="9" borderId="24" xfId="0" applyNumberFormat="1" applyFont="1" applyFill="1" applyBorder="1" applyAlignment="1">
      <alignment horizontal="center" vertical="center"/>
    </xf>
    <xf numFmtId="1" fontId="2" fillId="4" borderId="34" xfId="0" applyNumberFormat="1" applyFont="1" applyFill="1" applyBorder="1" applyAlignment="1">
      <alignment horizontal="right" vertical="center"/>
    </xf>
    <xf numFmtId="1" fontId="2" fillId="4" borderId="5" xfId="0" applyNumberFormat="1" applyFont="1" applyFill="1" applyBorder="1" applyAlignment="1">
      <alignment horizontal="right" vertical="center"/>
    </xf>
    <xf numFmtId="1" fontId="2" fillId="4" borderId="32" xfId="0" applyNumberFormat="1" applyFont="1" applyFill="1" applyBorder="1" applyAlignment="1">
      <alignment horizontal="right" vertical="center"/>
    </xf>
    <xf numFmtId="1" fontId="2" fillId="9" borderId="19" xfId="0" applyNumberFormat="1" applyFont="1" applyFill="1" applyBorder="1" applyAlignment="1">
      <alignment horizontal="center" vertical="center"/>
    </xf>
    <xf numFmtId="1" fontId="2" fillId="9" borderId="45" xfId="0" applyNumberFormat="1" applyFont="1" applyFill="1" applyBorder="1" applyAlignment="1">
      <alignment horizontal="center" vertical="center"/>
    </xf>
    <xf numFmtId="1" fontId="2" fillId="9" borderId="36" xfId="0" applyNumberFormat="1" applyFont="1" applyFill="1" applyBorder="1" applyAlignment="1">
      <alignment horizontal="center" vertical="center"/>
    </xf>
    <xf numFmtId="1" fontId="2" fillId="9" borderId="43" xfId="0" applyNumberFormat="1" applyFont="1" applyFill="1" applyBorder="1" applyAlignment="1">
      <alignment horizontal="center" vertical="center"/>
    </xf>
    <xf numFmtId="1" fontId="2" fillId="9" borderId="40" xfId="0" applyNumberFormat="1" applyFont="1" applyFill="1" applyBorder="1" applyAlignment="1">
      <alignment horizontal="center" vertical="center"/>
    </xf>
    <xf numFmtId="1" fontId="2" fillId="4" borderId="6" xfId="0" applyNumberFormat="1" applyFont="1" applyFill="1" applyBorder="1" applyAlignment="1">
      <alignment horizontal="right" vertical="center"/>
    </xf>
    <xf numFmtId="1" fontId="2" fillId="9" borderId="20" xfId="0" applyNumberFormat="1" applyFont="1" applyFill="1" applyBorder="1" applyAlignment="1">
      <alignment horizontal="center" vertical="center"/>
    </xf>
    <xf numFmtId="1" fontId="2" fillId="9" borderId="3" xfId="0" applyNumberFormat="1" applyFont="1" applyFill="1" applyBorder="1" applyAlignment="1">
      <alignment horizontal="center" vertical="center"/>
    </xf>
    <xf numFmtId="1" fontId="2" fillId="9" borderId="41" xfId="0" applyNumberFormat="1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 vertical="center" textRotation="90"/>
    </xf>
    <xf numFmtId="0" fontId="4" fillId="6" borderId="5" xfId="0" applyFont="1" applyFill="1" applyBorder="1" applyAlignment="1">
      <alignment horizontal="center" vertical="center" textRotation="90"/>
    </xf>
    <xf numFmtId="0" fontId="4" fillId="6" borderId="32" xfId="0" applyFont="1" applyFill="1" applyBorder="1" applyAlignment="1">
      <alignment horizontal="center" vertical="center" textRotation="90"/>
    </xf>
    <xf numFmtId="1" fontId="2" fillId="9" borderId="30" xfId="0" applyNumberFormat="1" applyFont="1" applyFill="1" applyBorder="1" applyAlignment="1">
      <alignment horizontal="center" vertical="center"/>
    </xf>
    <xf numFmtId="1" fontId="2" fillId="9" borderId="31" xfId="0" applyNumberFormat="1" applyFont="1" applyFill="1" applyBorder="1" applyAlignment="1">
      <alignment horizontal="center" vertical="center"/>
    </xf>
    <xf numFmtId="1" fontId="2" fillId="9" borderId="42" xfId="0" applyNumberFormat="1" applyFont="1" applyFill="1" applyBorder="1" applyAlignment="1">
      <alignment horizontal="center" vertical="center"/>
    </xf>
    <xf numFmtId="1" fontId="2" fillId="9" borderId="21" xfId="0" applyNumberFormat="1" applyFont="1" applyFill="1" applyBorder="1" applyAlignment="1">
      <alignment horizontal="center" vertical="center"/>
    </xf>
    <xf numFmtId="1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Border="1"/>
  </cellXfs>
  <cellStyles count="2">
    <cellStyle name="Normal" xfId="0" builtinId="0"/>
    <cellStyle name="Percent" xfId="1" builtinId="5"/>
  </cellStyles>
  <dxfs count="15">
    <dxf>
      <font>
        <color auto="1"/>
      </font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numFmt numFmtId="14" formatCode="0.00%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684F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RD" displayName="tblSRD" ref="A2:E49" totalsRowShown="0" headerRowDxfId="14">
  <autoFilter ref="A2:E4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Menu Item"/>
    <tableColumn id="2" xr3:uid="{00000000-0010-0000-0000-000002000000}" name="Units/mo"/>
    <tableColumn id="3" xr3:uid="{00000000-0010-0000-0000-000003000000}" name="Units/cs"/>
    <tableColumn id="4" xr3:uid="{00000000-0010-0000-0000-000004000000}" name="Shipping?" dataDxfId="13"/>
    <tableColumn id="5" xr3:uid="{C929EB4A-6803-42BA-BC63-72B0832FED5A}" name="Pct" dataDxfId="12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Brk" displayName="tblBrk" ref="G2:J6" totalsRowShown="0" headerRowDxfId="11" dataDxfId="10">
  <autoFilter ref="G2:J6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Menu Item"/>
    <tableColumn id="2" xr3:uid="{00000000-0010-0000-0100-000002000000}" name="Units/mo" dataDxfId="9"/>
    <tableColumn id="3" xr3:uid="{00000000-0010-0000-0100-000003000000}" name="Units/cs" dataDxfId="8"/>
    <tableColumn id="4" xr3:uid="{00000000-0010-0000-0100-000004000000}" name="Shipping?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F" displayName="tblCF" ref="L2:P49" totalsRowShown="0" headerRowDxfId="6">
  <autoFilter ref="L2:P49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Menu Item"/>
    <tableColumn id="2" xr3:uid="{00000000-0010-0000-0200-000002000000}" name="Units/wk" dataDxfId="5"/>
    <tableColumn id="3" xr3:uid="{00000000-0010-0000-0200-000003000000}" name="Units/cs" dataDxfId="4"/>
    <tableColumn id="4" xr3:uid="{00000000-0010-0000-0200-000004000000}" name="Shipping?" dataDxfId="3"/>
    <tableColumn id="5" xr3:uid="{BC01A363-C0FB-470D-B5DD-C026358142EE}" name="Pct" dataDxfId="2" dataCellStyle="Percent">
      <calculatedColumnFormula>tblCF[[#This Row],[Units/wk]]/7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9"/>
  <sheetViews>
    <sheetView workbookViewId="0">
      <selection activeCell="E1" sqref="E1"/>
    </sheetView>
  </sheetViews>
  <sheetFormatPr defaultRowHeight="15" x14ac:dyDescent="0.25"/>
  <cols>
    <col min="1" max="1" width="20.7109375" customWidth="1"/>
    <col min="2" max="5" width="9.140625" customWidth="1"/>
    <col min="6" max="6" width="2.85546875" customWidth="1"/>
    <col min="7" max="7" width="10.85546875" bestFit="1" customWidth="1"/>
    <col min="8" max="10" width="9.140625" customWidth="1"/>
    <col min="11" max="11" width="2.85546875" customWidth="1"/>
    <col min="12" max="12" width="20.7109375" customWidth="1"/>
    <col min="13" max="13" width="9.85546875" customWidth="1"/>
    <col min="14" max="15" width="9.140625" customWidth="1"/>
    <col min="17" max="17" width="19.5703125" customWidth="1"/>
    <col min="18" max="18" width="10.5703125" bestFit="1" customWidth="1"/>
    <col min="19" max="19" width="12.42578125" customWidth="1"/>
  </cols>
  <sheetData>
    <row r="1" spans="1:22" ht="21" x14ac:dyDescent="0.25">
      <c r="A1" s="92" t="s">
        <v>0</v>
      </c>
      <c r="B1" s="92"/>
      <c r="C1" s="92"/>
      <c r="D1" s="92"/>
      <c r="E1" s="92"/>
      <c r="F1" s="6"/>
      <c r="G1" s="92" t="s">
        <v>28</v>
      </c>
      <c r="H1" s="92"/>
      <c r="I1" s="92"/>
      <c r="J1" s="92"/>
      <c r="K1" s="6"/>
      <c r="L1" s="92" t="s">
        <v>34</v>
      </c>
      <c r="M1" s="92"/>
      <c r="N1" s="92"/>
      <c r="O1" s="92"/>
      <c r="P1" s="6"/>
    </row>
    <row r="2" spans="1:22" ht="30" customHeight="1" thickBot="1" x14ac:dyDescent="0.3">
      <c r="A2" s="3" t="s">
        <v>1</v>
      </c>
      <c r="B2" s="4" t="s">
        <v>2</v>
      </c>
      <c r="C2" s="4" t="s">
        <v>3</v>
      </c>
      <c r="D2" s="5" t="s">
        <v>4</v>
      </c>
      <c r="E2" s="5" t="s">
        <v>78</v>
      </c>
      <c r="F2" s="3"/>
      <c r="G2" s="3" t="s">
        <v>1</v>
      </c>
      <c r="H2" s="4" t="s">
        <v>2</v>
      </c>
      <c r="I2" s="4" t="s">
        <v>3</v>
      </c>
      <c r="J2" s="5" t="s">
        <v>4</v>
      </c>
      <c r="K2" s="3"/>
      <c r="L2" s="3" t="s">
        <v>1</v>
      </c>
      <c r="M2" s="4" t="s">
        <v>29</v>
      </c>
      <c r="N2" s="4" t="s">
        <v>3</v>
      </c>
      <c r="O2" s="5" t="s">
        <v>4</v>
      </c>
      <c r="P2" s="5" t="s">
        <v>78</v>
      </c>
    </row>
    <row r="3" spans="1:22" x14ac:dyDescent="0.25">
      <c r="A3" s="3" t="s">
        <v>47</v>
      </c>
      <c r="B3" s="4">
        <v>7</v>
      </c>
      <c r="C3" s="4">
        <v>42</v>
      </c>
      <c r="D3" s="1" t="s">
        <v>6</v>
      </c>
      <c r="E3" s="99">
        <f>tblSRD[[#This Row],[Units/mo]]/7</f>
        <v>1</v>
      </c>
      <c r="G3" t="s">
        <v>30</v>
      </c>
      <c r="H3" s="2">
        <v>7</v>
      </c>
      <c r="I3" s="2">
        <v>42</v>
      </c>
      <c r="J3" s="1" t="s">
        <v>6</v>
      </c>
      <c r="L3" s="3" t="s">
        <v>47</v>
      </c>
      <c r="M3" s="4">
        <v>7</v>
      </c>
      <c r="N3" s="4">
        <v>42</v>
      </c>
      <c r="O3" s="1" t="s">
        <v>6</v>
      </c>
      <c r="P3" s="58">
        <f>tblCF[[#This Row],[Units/wk]]/7</f>
        <v>1</v>
      </c>
      <c r="R3" s="104" t="s">
        <v>80</v>
      </c>
      <c r="S3" s="105"/>
      <c r="T3" s="105"/>
      <c r="U3" s="105"/>
      <c r="V3" s="106"/>
    </row>
    <row r="4" spans="1:22" x14ac:dyDescent="0.25">
      <c r="A4" s="3" t="s">
        <v>14</v>
      </c>
      <c r="B4" s="4">
        <v>7</v>
      </c>
      <c r="C4" s="4">
        <v>35</v>
      </c>
      <c r="D4" s="1" t="s">
        <v>6</v>
      </c>
      <c r="E4" s="99">
        <f>tblSRD[[#This Row],[Units/mo]]/7</f>
        <v>1</v>
      </c>
      <c r="F4" s="64"/>
      <c r="G4" t="s">
        <v>31</v>
      </c>
      <c r="H4" s="2">
        <v>12</v>
      </c>
      <c r="I4" s="2">
        <v>42</v>
      </c>
      <c r="J4" s="1" t="s">
        <v>6</v>
      </c>
      <c r="L4" s="3" t="s">
        <v>14</v>
      </c>
      <c r="M4" s="4">
        <v>7</v>
      </c>
      <c r="N4" s="4">
        <v>35</v>
      </c>
      <c r="O4" s="1" t="s">
        <v>6</v>
      </c>
      <c r="P4" s="58">
        <f>tblCF[[#This Row],[Units/wk]]/7</f>
        <v>1</v>
      </c>
      <c r="R4" s="107" t="s">
        <v>84</v>
      </c>
      <c r="S4" s="108"/>
      <c r="T4" s="108"/>
      <c r="U4" s="108"/>
      <c r="V4" s="109"/>
    </row>
    <row r="5" spans="1:22" x14ac:dyDescent="0.25">
      <c r="A5" s="3" t="s">
        <v>15</v>
      </c>
      <c r="B5" s="4">
        <v>8</v>
      </c>
      <c r="C5" s="4">
        <v>12</v>
      </c>
      <c r="D5" s="1" t="s">
        <v>20</v>
      </c>
      <c r="E5" s="99">
        <f>tblSRD[[#This Row],[Units/mo]]/8</f>
        <v>1</v>
      </c>
      <c r="G5" t="s">
        <v>32</v>
      </c>
      <c r="H5" s="2">
        <v>12</v>
      </c>
      <c r="I5" s="2">
        <v>42</v>
      </c>
      <c r="J5" s="1" t="s">
        <v>6</v>
      </c>
      <c r="L5" s="3" t="s">
        <v>15</v>
      </c>
      <c r="M5" s="4">
        <v>8</v>
      </c>
      <c r="N5" s="4">
        <v>12</v>
      </c>
      <c r="O5" s="1" t="s">
        <v>20</v>
      </c>
      <c r="P5" s="58">
        <f>tblCF[[#This Row],[Units/wk]]/8</f>
        <v>1</v>
      </c>
      <c r="R5" s="107" t="s">
        <v>81</v>
      </c>
      <c r="S5" s="108"/>
      <c r="T5" s="108"/>
      <c r="U5" s="108"/>
      <c r="V5" s="109"/>
    </row>
    <row r="6" spans="1:22" x14ac:dyDescent="0.25">
      <c r="A6" s="3" t="s">
        <v>59</v>
      </c>
      <c r="B6" s="4">
        <v>4</v>
      </c>
      <c r="C6" s="4">
        <v>35</v>
      </c>
      <c r="D6" s="1" t="s">
        <v>6</v>
      </c>
      <c r="E6" s="99">
        <f>tblSRD[[#This Row],[Units/mo]]/4</f>
        <v>1</v>
      </c>
      <c r="G6" t="s">
        <v>33</v>
      </c>
      <c r="H6" s="2">
        <v>60</v>
      </c>
      <c r="I6" s="2">
        <v>72</v>
      </c>
      <c r="J6" s="1" t="s">
        <v>6</v>
      </c>
      <c r="L6" s="3" t="s">
        <v>59</v>
      </c>
      <c r="M6" s="4">
        <v>8</v>
      </c>
      <c r="N6" s="4">
        <v>35</v>
      </c>
      <c r="O6" s="1" t="s">
        <v>6</v>
      </c>
      <c r="P6" s="58">
        <f>tblCF[[#This Row],[Units/wk]]/8</f>
        <v>1</v>
      </c>
      <c r="R6" s="107" t="s">
        <v>82</v>
      </c>
      <c r="S6" s="108"/>
      <c r="T6" s="108"/>
      <c r="U6" s="108"/>
      <c r="V6" s="109"/>
    </row>
    <row r="7" spans="1:22" ht="15.75" thickBot="1" x14ac:dyDescent="0.3">
      <c r="A7" s="3" t="s">
        <v>16</v>
      </c>
      <c r="B7" s="4">
        <v>14</v>
      </c>
      <c r="C7" s="4">
        <v>200</v>
      </c>
      <c r="D7" s="1" t="s">
        <v>6</v>
      </c>
      <c r="E7" s="99">
        <f>tblSRD[[#This Row],[Units/mo]]/14</f>
        <v>1</v>
      </c>
      <c r="F7" s="64"/>
      <c r="L7" s="3" t="s">
        <v>16</v>
      </c>
      <c r="M7" s="4">
        <v>14</v>
      </c>
      <c r="N7" s="4">
        <v>200</v>
      </c>
      <c r="O7" s="1" t="s">
        <v>6</v>
      </c>
      <c r="P7" s="58">
        <f>tblCF[[#This Row],[Units/wk]]/14</f>
        <v>1</v>
      </c>
      <c r="R7" s="110" t="s">
        <v>83</v>
      </c>
      <c r="S7" s="111"/>
      <c r="T7" s="111"/>
      <c r="U7" s="111"/>
      <c r="V7" s="112"/>
    </row>
    <row r="8" spans="1:22" x14ac:dyDescent="0.25">
      <c r="A8" s="3" t="s">
        <v>17</v>
      </c>
      <c r="B8" s="4">
        <v>28</v>
      </c>
      <c r="C8" s="4">
        <v>8000</v>
      </c>
      <c r="D8" s="1" t="s">
        <v>6</v>
      </c>
      <c r="E8" s="99">
        <f>tblSRD[[#This Row],[Units/mo]]/28</f>
        <v>1</v>
      </c>
      <c r="L8" s="3" t="s">
        <v>17</v>
      </c>
      <c r="M8" s="4">
        <v>28</v>
      </c>
      <c r="N8" s="4">
        <v>8000</v>
      </c>
      <c r="O8" s="1" t="s">
        <v>6</v>
      </c>
      <c r="P8" s="58">
        <f>tblCF[[#This Row],[Units/wk]]/28</f>
        <v>1</v>
      </c>
      <c r="R8" s="49"/>
    </row>
    <row r="9" spans="1:22" ht="15" customHeight="1" thickBot="1" x14ac:dyDescent="0.3">
      <c r="A9" s="94" t="s">
        <v>18</v>
      </c>
      <c r="B9" s="95">
        <v>36</v>
      </c>
      <c r="C9" s="95">
        <v>192</v>
      </c>
      <c r="D9" s="96" t="s">
        <v>6</v>
      </c>
      <c r="E9" s="100">
        <f>tblSRD[[#This Row],[Units/mo]]/36</f>
        <v>1</v>
      </c>
      <c r="L9" s="94" t="s">
        <v>18</v>
      </c>
      <c r="M9" s="95">
        <v>28</v>
      </c>
      <c r="N9" s="95">
        <v>192</v>
      </c>
      <c r="O9" s="96" t="s">
        <v>6</v>
      </c>
      <c r="P9" s="101">
        <f>tblCF[[#This Row],[Units/wk]]/28</f>
        <v>1</v>
      </c>
      <c r="R9" s="49"/>
    </row>
    <row r="10" spans="1:22" x14ac:dyDescent="0.25">
      <c r="A10" s="3" t="s">
        <v>19</v>
      </c>
      <c r="B10" s="4">
        <v>7</v>
      </c>
      <c r="C10" s="4">
        <v>12</v>
      </c>
      <c r="D10" s="1" t="s">
        <v>20</v>
      </c>
      <c r="E10" s="98">
        <f>tblSRD[[#This Row],[Units/mo]]/16</f>
        <v>0.4375</v>
      </c>
      <c r="G10" s="58"/>
      <c r="L10" s="3" t="s">
        <v>19</v>
      </c>
      <c r="M10" s="4">
        <v>7</v>
      </c>
      <c r="N10" s="4">
        <v>12</v>
      </c>
      <c r="O10" s="1" t="s">
        <v>6</v>
      </c>
      <c r="P10" s="58">
        <f>tblCF[[#This Row],[Units/wk]]/14</f>
        <v>0.5</v>
      </c>
      <c r="R10" s="49"/>
    </row>
    <row r="11" spans="1:22" x14ac:dyDescent="0.25">
      <c r="A11" s="3" t="s">
        <v>21</v>
      </c>
      <c r="B11" s="4">
        <v>7</v>
      </c>
      <c r="C11" s="4">
        <v>12</v>
      </c>
      <c r="D11" s="1" t="s">
        <v>20</v>
      </c>
      <c r="E11" s="98">
        <f>tblSRD[[#This Row],[Units/mo]]/16</f>
        <v>0.4375</v>
      </c>
      <c r="G11" s="58"/>
      <c r="L11" s="3" t="s">
        <v>21</v>
      </c>
      <c r="M11" s="4">
        <v>7</v>
      </c>
      <c r="N11" s="4">
        <v>12</v>
      </c>
      <c r="O11" s="1" t="s">
        <v>6</v>
      </c>
      <c r="P11" s="58">
        <f>tblCF[[#This Row],[Units/wk]]/14</f>
        <v>0.5</v>
      </c>
      <c r="R11" s="49"/>
    </row>
    <row r="12" spans="1:22" x14ac:dyDescent="0.25">
      <c r="A12" s="3" t="s">
        <v>58</v>
      </c>
      <c r="B12" s="4">
        <v>6</v>
      </c>
      <c r="C12" s="4">
        <v>50</v>
      </c>
      <c r="D12" s="1" t="s">
        <v>6</v>
      </c>
      <c r="E12" s="98">
        <f>tblSRD[[#This Row],[Units/mo]]/16</f>
        <v>0.375</v>
      </c>
      <c r="G12" s="58"/>
      <c r="L12" t="s">
        <v>58</v>
      </c>
      <c r="M12">
        <v>3</v>
      </c>
      <c r="N12">
        <v>50</v>
      </c>
      <c r="O12" s="1" t="s">
        <v>20</v>
      </c>
      <c r="P12" s="58">
        <f>tblCF[[#This Row],[Units/wk]]/14</f>
        <v>0.21428571428571427</v>
      </c>
      <c r="R12" s="49"/>
    </row>
    <row r="13" spans="1:22" x14ac:dyDescent="0.25">
      <c r="A13" s="3" t="s">
        <v>70</v>
      </c>
      <c r="B13" s="4">
        <v>2</v>
      </c>
      <c r="C13" s="4">
        <v>70</v>
      </c>
      <c r="D13" s="1" t="s">
        <v>6</v>
      </c>
      <c r="E13" s="98">
        <f>tblSRD[[#This Row],[Units/mo]]/16</f>
        <v>0.125</v>
      </c>
      <c r="G13" s="58"/>
      <c r="L13" t="s">
        <v>70</v>
      </c>
      <c r="M13">
        <v>2</v>
      </c>
      <c r="N13">
        <v>70</v>
      </c>
      <c r="O13" s="1" t="s">
        <v>20</v>
      </c>
      <c r="P13" s="58">
        <f>tblCF[[#This Row],[Units/wk]]/14</f>
        <v>0.14285714285714285</v>
      </c>
      <c r="R13" s="49"/>
    </row>
    <row r="14" spans="1:22" x14ac:dyDescent="0.25">
      <c r="A14" s="3" t="s">
        <v>71</v>
      </c>
      <c r="B14" s="4">
        <v>2</v>
      </c>
      <c r="C14" s="4">
        <v>70</v>
      </c>
      <c r="D14" s="1" t="s">
        <v>6</v>
      </c>
      <c r="E14" s="98">
        <f>tblSRD[[#This Row],[Units/mo]]/16</f>
        <v>0.125</v>
      </c>
      <c r="G14" s="58"/>
      <c r="L14" t="s">
        <v>71</v>
      </c>
      <c r="M14">
        <v>2</v>
      </c>
      <c r="N14">
        <v>70</v>
      </c>
      <c r="O14" s="1" t="s">
        <v>20</v>
      </c>
      <c r="P14" s="58">
        <f>tblCF[[#This Row],[Units/wk]]/14</f>
        <v>0.14285714285714285</v>
      </c>
      <c r="R14" s="49"/>
    </row>
    <row r="15" spans="1:22" x14ac:dyDescent="0.25">
      <c r="A15" s="3" t="s">
        <v>72</v>
      </c>
      <c r="B15" s="4">
        <v>2</v>
      </c>
      <c r="C15" s="4">
        <v>70</v>
      </c>
      <c r="D15" s="1" t="s">
        <v>6</v>
      </c>
      <c r="E15" s="98">
        <f>tblSRD[[#This Row],[Units/mo]]/16</f>
        <v>0.125</v>
      </c>
      <c r="G15" s="58"/>
      <c r="L15" t="s">
        <v>72</v>
      </c>
      <c r="M15">
        <v>2</v>
      </c>
      <c r="N15">
        <v>70</v>
      </c>
      <c r="O15" s="1" t="s">
        <v>20</v>
      </c>
      <c r="P15" s="58">
        <f>tblCF[[#This Row],[Units/wk]]/14</f>
        <v>0.14285714285714285</v>
      </c>
      <c r="R15" s="59"/>
    </row>
    <row r="16" spans="1:22" x14ac:dyDescent="0.25">
      <c r="A16" s="3" t="s">
        <v>73</v>
      </c>
      <c r="B16" s="4">
        <v>2</v>
      </c>
      <c r="C16" s="4">
        <v>70</v>
      </c>
      <c r="D16" s="1" t="s">
        <v>6</v>
      </c>
      <c r="E16" s="98">
        <f>tblSRD[[#This Row],[Units/mo]]/16</f>
        <v>0.125</v>
      </c>
      <c r="G16" s="58"/>
      <c r="L16" t="s">
        <v>73</v>
      </c>
      <c r="M16">
        <v>3</v>
      </c>
      <c r="N16">
        <v>70</v>
      </c>
      <c r="O16" s="1" t="s">
        <v>20</v>
      </c>
      <c r="P16" s="58">
        <f>tblCF[[#This Row],[Units/wk]]/14</f>
        <v>0.21428571428571427</v>
      </c>
      <c r="R16" s="59"/>
    </row>
    <row r="17" spans="1:19" x14ac:dyDescent="0.25">
      <c r="A17" s="3" t="s">
        <v>74</v>
      </c>
      <c r="B17" s="4">
        <v>2</v>
      </c>
      <c r="C17" s="4">
        <v>70</v>
      </c>
      <c r="D17" s="1" t="s">
        <v>6</v>
      </c>
      <c r="E17" s="98">
        <f>tblSRD[[#This Row],[Units/mo]]/16</f>
        <v>0.125</v>
      </c>
      <c r="G17" s="58"/>
      <c r="L17" t="s">
        <v>74</v>
      </c>
      <c r="M17">
        <v>2</v>
      </c>
      <c r="N17">
        <v>70</v>
      </c>
      <c r="O17" s="1" t="s">
        <v>20</v>
      </c>
      <c r="P17" s="58">
        <f>tblCF[[#This Row],[Units/wk]]/14</f>
        <v>0.14285714285714285</v>
      </c>
      <c r="R17" s="59"/>
    </row>
    <row r="18" spans="1:19" x14ac:dyDescent="0.25">
      <c r="A18" t="s">
        <v>26</v>
      </c>
      <c r="B18">
        <v>7</v>
      </c>
      <c r="C18">
        <v>15</v>
      </c>
      <c r="D18" s="1" t="s">
        <v>20</v>
      </c>
      <c r="E18" s="98">
        <f>tblSRD[[#This Row],[Units/mo]]/16</f>
        <v>0.4375</v>
      </c>
      <c r="G18" s="58"/>
      <c r="L18" t="s">
        <v>26</v>
      </c>
      <c r="M18">
        <v>7</v>
      </c>
      <c r="N18">
        <v>15</v>
      </c>
      <c r="O18" s="1" t="s">
        <v>20</v>
      </c>
      <c r="P18" s="58">
        <f>tblCF[[#This Row],[Units/wk]]/14</f>
        <v>0.5</v>
      </c>
    </row>
    <row r="19" spans="1:19" ht="15" customHeight="1" thickBot="1" x14ac:dyDescent="0.3">
      <c r="A19" s="97" t="s">
        <v>27</v>
      </c>
      <c r="B19" s="97">
        <v>7</v>
      </c>
      <c r="C19" s="97">
        <v>15</v>
      </c>
      <c r="D19" s="96" t="s">
        <v>20</v>
      </c>
      <c r="E19" s="100">
        <f>tblSRD[[#This Row],[Units/mo]]/16</f>
        <v>0.4375</v>
      </c>
      <c r="G19" s="58"/>
      <c r="L19" s="97" t="s">
        <v>27</v>
      </c>
      <c r="M19" s="97">
        <v>7</v>
      </c>
      <c r="N19" s="97">
        <v>15</v>
      </c>
      <c r="O19" s="96" t="s">
        <v>20</v>
      </c>
      <c r="P19" s="101">
        <f>tblCF[[#This Row],[Units/wk]]/14</f>
        <v>0.5</v>
      </c>
    </row>
    <row r="20" spans="1:19" x14ac:dyDescent="0.25">
      <c r="A20" s="3" t="s">
        <v>61</v>
      </c>
      <c r="B20" s="4">
        <v>3</v>
      </c>
      <c r="C20" s="4">
        <v>30</v>
      </c>
      <c r="D20" s="1" t="s">
        <v>20</v>
      </c>
      <c r="E20" s="98">
        <f>tblSRD[[#This Row],[Units/mo]]/36</f>
        <v>8.3333333333333329E-2</v>
      </c>
      <c r="G20" s="58"/>
      <c r="L20" s="3" t="s">
        <v>61</v>
      </c>
      <c r="M20" s="4">
        <v>4</v>
      </c>
      <c r="N20" s="4">
        <v>30</v>
      </c>
      <c r="O20" s="1" t="s">
        <v>6</v>
      </c>
      <c r="P20" s="58">
        <f>tblCF[[#This Row],[Units/wk]]/38</f>
        <v>0.10526315789473684</v>
      </c>
    </row>
    <row r="21" spans="1:19" x14ac:dyDescent="0.25">
      <c r="A21" s="3" t="s">
        <v>62</v>
      </c>
      <c r="B21" s="4">
        <v>3</v>
      </c>
      <c r="C21" s="4">
        <v>30</v>
      </c>
      <c r="D21" s="1" t="s">
        <v>20</v>
      </c>
      <c r="E21" s="98">
        <f>tblSRD[[#This Row],[Units/mo]]/36</f>
        <v>8.3333333333333329E-2</v>
      </c>
      <c r="G21" s="58"/>
      <c r="L21" s="3" t="s">
        <v>62</v>
      </c>
      <c r="M21" s="4">
        <v>2</v>
      </c>
      <c r="N21" s="4">
        <v>30</v>
      </c>
      <c r="O21" s="1" t="s">
        <v>6</v>
      </c>
      <c r="P21" s="58">
        <f>tblCF[[#This Row],[Units/wk]]/38</f>
        <v>5.2631578947368418E-2</v>
      </c>
      <c r="S21" s="8"/>
    </row>
    <row r="22" spans="1:19" x14ac:dyDescent="0.25">
      <c r="A22" s="3" t="s">
        <v>63</v>
      </c>
      <c r="B22" s="4">
        <v>3</v>
      </c>
      <c r="C22" s="4">
        <v>30</v>
      </c>
      <c r="D22" s="1" t="s">
        <v>20</v>
      </c>
      <c r="E22" s="98">
        <f>tblSRD[[#This Row],[Units/mo]]/36</f>
        <v>8.3333333333333329E-2</v>
      </c>
      <c r="G22" s="58"/>
      <c r="L22" s="3" t="s">
        <v>63</v>
      </c>
      <c r="M22" s="4">
        <v>1</v>
      </c>
      <c r="N22" s="4">
        <v>30</v>
      </c>
      <c r="O22" s="1" t="s">
        <v>6</v>
      </c>
      <c r="P22" s="58">
        <f>tblCF[[#This Row],[Units/wk]]/38</f>
        <v>2.6315789473684209E-2</v>
      </c>
      <c r="S22" s="8"/>
    </row>
    <row r="23" spans="1:19" x14ac:dyDescent="0.25">
      <c r="A23" s="3" t="s">
        <v>64</v>
      </c>
      <c r="B23" s="4">
        <v>3</v>
      </c>
      <c r="C23" s="4">
        <v>30</v>
      </c>
      <c r="D23" s="1" t="s">
        <v>20</v>
      </c>
      <c r="E23" s="98">
        <f>tblSRD[[#This Row],[Units/mo]]/36</f>
        <v>8.3333333333333329E-2</v>
      </c>
      <c r="G23" s="58"/>
      <c r="L23" s="3" t="s">
        <v>64</v>
      </c>
      <c r="M23" s="4">
        <v>4</v>
      </c>
      <c r="N23" s="4">
        <v>30</v>
      </c>
      <c r="O23" s="1" t="s">
        <v>6</v>
      </c>
      <c r="P23" s="58">
        <f>tblCF[[#This Row],[Units/wk]]/38</f>
        <v>0.10526315789473684</v>
      </c>
      <c r="S23" s="8"/>
    </row>
    <row r="24" spans="1:19" x14ac:dyDescent="0.25">
      <c r="A24" s="3" t="s">
        <v>65</v>
      </c>
      <c r="B24" s="4">
        <v>3</v>
      </c>
      <c r="C24" s="4">
        <v>30</v>
      </c>
      <c r="D24" s="1" t="s">
        <v>20</v>
      </c>
      <c r="E24" s="98">
        <f>tblSRD[[#This Row],[Units/mo]]/36</f>
        <v>8.3333333333333329E-2</v>
      </c>
      <c r="G24" s="58"/>
      <c r="L24" s="3" t="s">
        <v>65</v>
      </c>
      <c r="M24" s="4">
        <v>4</v>
      </c>
      <c r="N24" s="4">
        <v>30</v>
      </c>
      <c r="O24" s="1" t="s">
        <v>6</v>
      </c>
      <c r="P24" s="58">
        <f>tblCF[[#This Row],[Units/wk]]/38</f>
        <v>0.10526315789473684</v>
      </c>
      <c r="S24" s="8"/>
    </row>
    <row r="25" spans="1:19" x14ac:dyDescent="0.25">
      <c r="A25" s="3" t="s">
        <v>66</v>
      </c>
      <c r="B25" s="4">
        <v>3</v>
      </c>
      <c r="C25" s="4">
        <v>30</v>
      </c>
      <c r="D25" s="1" t="s">
        <v>20</v>
      </c>
      <c r="E25" s="98">
        <f>tblSRD[[#This Row],[Units/mo]]/36</f>
        <v>8.3333333333333329E-2</v>
      </c>
      <c r="G25" s="58"/>
      <c r="L25" s="3" t="s">
        <v>66</v>
      </c>
      <c r="M25" s="4">
        <v>4</v>
      </c>
      <c r="N25" s="4">
        <v>30</v>
      </c>
      <c r="O25" s="1" t="s">
        <v>6</v>
      </c>
      <c r="P25" s="58">
        <f>tblCF[[#This Row],[Units/wk]]/38</f>
        <v>0.10526315789473684</v>
      </c>
      <c r="S25" s="8"/>
    </row>
    <row r="26" spans="1:19" x14ac:dyDescent="0.25">
      <c r="A26" s="3" t="s">
        <v>67</v>
      </c>
      <c r="B26" s="4">
        <v>3</v>
      </c>
      <c r="C26" s="4">
        <v>30</v>
      </c>
      <c r="D26" s="1" t="s">
        <v>20</v>
      </c>
      <c r="E26" s="98">
        <f>tblSRD[[#This Row],[Units/mo]]/36</f>
        <v>8.3333333333333329E-2</v>
      </c>
      <c r="G26" s="58"/>
      <c r="L26" s="3" t="s">
        <v>67</v>
      </c>
      <c r="M26" s="4">
        <v>4</v>
      </c>
      <c r="N26" s="4">
        <v>30</v>
      </c>
      <c r="O26" s="1" t="s">
        <v>6</v>
      </c>
      <c r="P26" s="58">
        <f>tblCF[[#This Row],[Units/wk]]/38</f>
        <v>0.10526315789473684</v>
      </c>
      <c r="S26" s="8"/>
    </row>
    <row r="27" spans="1:19" x14ac:dyDescent="0.25">
      <c r="A27" t="s">
        <v>5</v>
      </c>
      <c r="B27">
        <v>3</v>
      </c>
      <c r="C27">
        <v>35</v>
      </c>
      <c r="D27" s="1" t="s">
        <v>20</v>
      </c>
      <c r="E27" s="98">
        <f>tblSRD[[#This Row],[Units/mo]]/36</f>
        <v>8.3333333333333329E-2</v>
      </c>
      <c r="G27" s="58"/>
      <c r="L27" t="s">
        <v>5</v>
      </c>
      <c r="M27">
        <v>4</v>
      </c>
      <c r="N27">
        <v>35</v>
      </c>
      <c r="O27" s="1" t="s">
        <v>20</v>
      </c>
      <c r="P27" s="58">
        <f>tblCF[[#This Row],[Units/wk]]/38</f>
        <v>0.10526315789473684</v>
      </c>
      <c r="S27" s="8"/>
    </row>
    <row r="28" spans="1:19" x14ac:dyDescent="0.25">
      <c r="A28" t="s">
        <v>7</v>
      </c>
      <c r="B28">
        <v>3</v>
      </c>
      <c r="C28">
        <v>35</v>
      </c>
      <c r="D28" s="1" t="s">
        <v>20</v>
      </c>
      <c r="E28" s="98">
        <f>tblSRD[[#This Row],[Units/mo]]/36</f>
        <v>8.3333333333333329E-2</v>
      </c>
      <c r="G28" s="58"/>
      <c r="L28" t="s">
        <v>7</v>
      </c>
      <c r="M28">
        <v>4</v>
      </c>
      <c r="N28">
        <v>35</v>
      </c>
      <c r="O28" s="1" t="s">
        <v>6</v>
      </c>
      <c r="P28" s="58">
        <f>tblCF[[#This Row],[Units/wk]]/38</f>
        <v>0.10526315789473684</v>
      </c>
    </row>
    <row r="29" spans="1:19" x14ac:dyDescent="0.25">
      <c r="A29" t="s">
        <v>8</v>
      </c>
      <c r="B29">
        <v>4</v>
      </c>
      <c r="C29">
        <v>35</v>
      </c>
      <c r="D29" s="1" t="s">
        <v>20</v>
      </c>
      <c r="E29" s="98">
        <f>tblSRD[[#This Row],[Units/mo]]/36</f>
        <v>0.1111111111111111</v>
      </c>
      <c r="G29" s="58"/>
      <c r="L29" t="s">
        <v>8</v>
      </c>
      <c r="M29">
        <v>4</v>
      </c>
      <c r="N29">
        <v>35</v>
      </c>
      <c r="O29" s="1" t="s">
        <v>20</v>
      </c>
      <c r="P29" s="58">
        <f>tblCF[[#This Row],[Units/wk]]/38</f>
        <v>0.10526315789473684</v>
      </c>
    </row>
    <row r="30" spans="1:19" x14ac:dyDescent="0.25">
      <c r="A30" t="s">
        <v>9</v>
      </c>
      <c r="B30">
        <v>4</v>
      </c>
      <c r="C30">
        <v>35</v>
      </c>
      <c r="D30" s="1" t="s">
        <v>20</v>
      </c>
      <c r="E30" s="98">
        <f>tblSRD[[#This Row],[Units/mo]]/36</f>
        <v>0.1111111111111111</v>
      </c>
      <c r="G30" s="58"/>
      <c r="L30" t="s">
        <v>9</v>
      </c>
      <c r="M30">
        <v>4</v>
      </c>
      <c r="N30">
        <v>35</v>
      </c>
      <c r="O30" s="1" t="s">
        <v>20</v>
      </c>
      <c r="P30" s="58">
        <f>tblCF[[#This Row],[Units/wk]]/38</f>
        <v>0.10526315789473684</v>
      </c>
    </row>
    <row r="31" spans="1:19" x14ac:dyDescent="0.25">
      <c r="A31" t="s">
        <v>43</v>
      </c>
      <c r="B31">
        <v>4</v>
      </c>
      <c r="C31">
        <v>35</v>
      </c>
      <c r="D31" s="1" t="s">
        <v>20</v>
      </c>
      <c r="E31" s="98">
        <f>tblSRD[[#This Row],[Units/mo]]/36</f>
        <v>0.1111111111111111</v>
      </c>
      <c r="G31" s="58"/>
      <c r="L31" t="s">
        <v>43</v>
      </c>
      <c r="M31">
        <v>4</v>
      </c>
      <c r="N31">
        <v>35</v>
      </c>
      <c r="O31" s="1" t="s">
        <v>6</v>
      </c>
      <c r="P31" s="58">
        <f>tblCF[[#This Row],[Units/wk]]/38</f>
        <v>0.10526315789473684</v>
      </c>
    </row>
    <row r="32" spans="1:19" x14ac:dyDescent="0.25">
      <c r="A32" t="s">
        <v>10</v>
      </c>
      <c r="B32">
        <v>4</v>
      </c>
      <c r="C32">
        <v>35</v>
      </c>
      <c r="D32" s="1" t="s">
        <v>20</v>
      </c>
      <c r="E32" s="98">
        <f>tblSRD[[#This Row],[Units/mo]]/36</f>
        <v>0.1111111111111111</v>
      </c>
      <c r="G32" s="58"/>
      <c r="L32" t="s">
        <v>10</v>
      </c>
      <c r="M32">
        <v>4</v>
      </c>
      <c r="N32">
        <v>35</v>
      </c>
      <c r="O32" s="1" t="s">
        <v>20</v>
      </c>
      <c r="P32" s="58">
        <f>tblCF[[#This Row],[Units/wk]]/38</f>
        <v>0.10526315789473684</v>
      </c>
    </row>
    <row r="33" spans="1:16" x14ac:dyDescent="0.25">
      <c r="A33" t="s">
        <v>11</v>
      </c>
      <c r="B33">
        <v>4</v>
      </c>
      <c r="C33">
        <v>35</v>
      </c>
      <c r="D33" s="1" t="s">
        <v>20</v>
      </c>
      <c r="E33" s="98">
        <f>tblSRD[[#This Row],[Units/mo]]/36</f>
        <v>0.1111111111111111</v>
      </c>
      <c r="G33" s="58"/>
      <c r="L33" t="s">
        <v>11</v>
      </c>
      <c r="M33">
        <v>4</v>
      </c>
      <c r="N33">
        <v>35</v>
      </c>
      <c r="O33" s="1" t="s">
        <v>6</v>
      </c>
      <c r="P33" s="58">
        <f>tblCF[[#This Row],[Units/wk]]/38</f>
        <v>0.10526315789473684</v>
      </c>
    </row>
    <row r="34" spans="1:16" x14ac:dyDescent="0.25">
      <c r="A34" t="s">
        <v>12</v>
      </c>
      <c r="B34">
        <v>2</v>
      </c>
      <c r="C34">
        <v>35</v>
      </c>
      <c r="D34" s="1" t="s">
        <v>20</v>
      </c>
      <c r="E34" s="98">
        <f>tblSRD[[#This Row],[Units/mo]]/36</f>
        <v>5.5555555555555552E-2</v>
      </c>
      <c r="G34" s="58"/>
      <c r="L34" t="s">
        <v>12</v>
      </c>
      <c r="M34">
        <v>2</v>
      </c>
      <c r="N34">
        <v>35</v>
      </c>
      <c r="O34" s="1" t="s">
        <v>20</v>
      </c>
      <c r="P34" s="58">
        <f>tblCF[[#This Row],[Units/wk]]/38</f>
        <v>5.2631578947368418E-2</v>
      </c>
    </row>
    <row r="35" spans="1:16" x14ac:dyDescent="0.25">
      <c r="A35" t="s">
        <v>13</v>
      </c>
      <c r="B35">
        <v>4</v>
      </c>
      <c r="C35">
        <v>35</v>
      </c>
      <c r="D35" s="1" t="s">
        <v>20</v>
      </c>
      <c r="E35" s="98">
        <f>tblSRD[[#This Row],[Units/mo]]/36</f>
        <v>0.1111111111111111</v>
      </c>
      <c r="G35" s="58"/>
      <c r="L35" t="s">
        <v>13</v>
      </c>
      <c r="M35">
        <v>3</v>
      </c>
      <c r="N35">
        <v>35</v>
      </c>
      <c r="O35" s="1" t="s">
        <v>6</v>
      </c>
      <c r="P35" s="58">
        <f>tblCF[[#This Row],[Units/wk]]/38</f>
        <v>7.8947368421052627E-2</v>
      </c>
    </row>
    <row r="36" spans="1:16" x14ac:dyDescent="0.25">
      <c r="A36" t="s">
        <v>22</v>
      </c>
      <c r="B36">
        <v>10</v>
      </c>
      <c r="C36">
        <v>12</v>
      </c>
      <c r="D36" s="1" t="s">
        <v>20</v>
      </c>
      <c r="E36" s="98">
        <v>0.25</v>
      </c>
      <c r="G36" s="58"/>
      <c r="L36" t="s">
        <v>22</v>
      </c>
      <c r="M36">
        <v>10</v>
      </c>
      <c r="N36">
        <v>12</v>
      </c>
      <c r="O36" s="1" t="s">
        <v>20</v>
      </c>
      <c r="P36" s="58">
        <f>tblCF[[#This Row],[Units/wk]]/38</f>
        <v>0.26315789473684209</v>
      </c>
    </row>
    <row r="37" spans="1:16" x14ac:dyDescent="0.25">
      <c r="A37" t="s">
        <v>23</v>
      </c>
      <c r="B37">
        <v>9</v>
      </c>
      <c r="C37">
        <v>12</v>
      </c>
      <c r="D37" s="1" t="s">
        <v>20</v>
      </c>
      <c r="E37" s="98">
        <f>tblSRD[[#This Row],[Units/mo]]/36</f>
        <v>0.25</v>
      </c>
      <c r="G37" s="58"/>
      <c r="L37" t="s">
        <v>23</v>
      </c>
      <c r="M37">
        <v>9</v>
      </c>
      <c r="N37">
        <v>12</v>
      </c>
      <c r="O37" s="1" t="s">
        <v>20</v>
      </c>
      <c r="P37" s="58">
        <f>tblCF[[#This Row],[Units/wk]]/38</f>
        <v>0.23684210526315788</v>
      </c>
    </row>
    <row r="38" spans="1:16" x14ac:dyDescent="0.25">
      <c r="A38" t="s">
        <v>24</v>
      </c>
      <c r="B38">
        <v>10</v>
      </c>
      <c r="C38">
        <v>12</v>
      </c>
      <c r="D38" s="1" t="s">
        <v>20</v>
      </c>
      <c r="E38" s="98">
        <v>0.25</v>
      </c>
      <c r="G38" s="58"/>
      <c r="L38" t="s">
        <v>24</v>
      </c>
      <c r="M38">
        <v>10</v>
      </c>
      <c r="N38">
        <v>12</v>
      </c>
      <c r="O38" s="1" t="s">
        <v>20</v>
      </c>
      <c r="P38" s="58">
        <f>tblCF[[#This Row],[Units/wk]]/38</f>
        <v>0.26315789473684209</v>
      </c>
    </row>
    <row r="39" spans="1:16" x14ac:dyDescent="0.25">
      <c r="A39" t="s">
        <v>25</v>
      </c>
      <c r="B39">
        <v>9</v>
      </c>
      <c r="C39">
        <v>12</v>
      </c>
      <c r="D39" s="1" t="s">
        <v>20</v>
      </c>
      <c r="E39" s="98">
        <f>tblSRD[[#This Row],[Units/mo]]/36</f>
        <v>0.25</v>
      </c>
      <c r="G39" s="58"/>
      <c r="L39" t="s">
        <v>25</v>
      </c>
      <c r="M39">
        <v>9</v>
      </c>
      <c r="N39">
        <v>12</v>
      </c>
      <c r="O39" s="1" t="s">
        <v>20</v>
      </c>
      <c r="P39" s="58">
        <f>tblCF[[#This Row],[Units/wk]]/38</f>
        <v>0.23684210526315788</v>
      </c>
    </row>
    <row r="40" spans="1:16" x14ac:dyDescent="0.25">
      <c r="A40" t="s">
        <v>57</v>
      </c>
      <c r="B40">
        <v>4</v>
      </c>
      <c r="C40">
        <v>50</v>
      </c>
      <c r="D40" s="1" t="s">
        <v>6</v>
      </c>
      <c r="E40" s="98">
        <f>tblSRD[[#This Row],[Units/mo]]/36</f>
        <v>0.1111111111111111</v>
      </c>
      <c r="G40" s="58"/>
      <c r="L40" t="s">
        <v>57</v>
      </c>
      <c r="M40">
        <v>4</v>
      </c>
      <c r="N40">
        <v>50</v>
      </c>
      <c r="O40" s="1" t="s">
        <v>20</v>
      </c>
      <c r="P40" s="58">
        <f>tblCF[[#This Row],[Units/wk]]/38</f>
        <v>0.10526315789473684</v>
      </c>
    </row>
    <row r="41" spans="1:16" x14ac:dyDescent="0.25">
      <c r="A41" t="s">
        <v>48</v>
      </c>
      <c r="B41">
        <v>4</v>
      </c>
      <c r="C41">
        <v>50</v>
      </c>
      <c r="D41" s="1" t="s">
        <v>6</v>
      </c>
      <c r="E41" s="98">
        <f>tblSRD[[#This Row],[Units/mo]]/36</f>
        <v>0.1111111111111111</v>
      </c>
      <c r="G41" s="58"/>
      <c r="L41" t="s">
        <v>48</v>
      </c>
      <c r="M41">
        <v>4</v>
      </c>
      <c r="N41">
        <v>50</v>
      </c>
      <c r="O41" s="1" t="s">
        <v>20</v>
      </c>
      <c r="P41" s="58">
        <f>tblCF[[#This Row],[Units/wk]]/38</f>
        <v>0.10526315789473684</v>
      </c>
    </row>
    <row r="42" spans="1:16" x14ac:dyDescent="0.25">
      <c r="A42" t="s">
        <v>54</v>
      </c>
      <c r="B42">
        <v>4</v>
      </c>
      <c r="C42">
        <v>50</v>
      </c>
      <c r="D42" s="1" t="s">
        <v>6</v>
      </c>
      <c r="E42" s="98">
        <f>tblSRD[[#This Row],[Units/mo]]/36</f>
        <v>0.1111111111111111</v>
      </c>
      <c r="G42" s="58"/>
      <c r="L42" t="s">
        <v>54</v>
      </c>
      <c r="M42">
        <v>4</v>
      </c>
      <c r="N42">
        <v>50</v>
      </c>
      <c r="O42" s="1" t="s">
        <v>20</v>
      </c>
      <c r="P42" s="58">
        <f>tblCF[[#This Row],[Units/wk]]/38</f>
        <v>0.10526315789473684</v>
      </c>
    </row>
    <row r="43" spans="1:16" x14ac:dyDescent="0.25">
      <c r="A43" t="s">
        <v>56</v>
      </c>
      <c r="B43">
        <v>4</v>
      </c>
      <c r="C43">
        <v>50</v>
      </c>
      <c r="D43" s="1" t="s">
        <v>6</v>
      </c>
      <c r="E43" s="98">
        <f>tblSRD[[#This Row],[Units/mo]]/36</f>
        <v>0.1111111111111111</v>
      </c>
      <c r="G43" s="58"/>
      <c r="L43" t="s">
        <v>56</v>
      </c>
      <c r="M43">
        <v>4</v>
      </c>
      <c r="N43">
        <v>50</v>
      </c>
      <c r="O43" s="1" t="s">
        <v>20</v>
      </c>
      <c r="P43" s="58">
        <f>tblCF[[#This Row],[Units/wk]]/38</f>
        <v>0.10526315789473684</v>
      </c>
    </row>
    <row r="44" spans="1:16" x14ac:dyDescent="0.25">
      <c r="A44" t="s">
        <v>49</v>
      </c>
      <c r="B44">
        <v>4</v>
      </c>
      <c r="C44">
        <v>50</v>
      </c>
      <c r="D44" s="1" t="s">
        <v>6</v>
      </c>
      <c r="E44" s="98">
        <f>tblSRD[[#This Row],[Units/mo]]/36</f>
        <v>0.1111111111111111</v>
      </c>
      <c r="G44" s="58"/>
      <c r="L44" t="s">
        <v>49</v>
      </c>
      <c r="M44">
        <v>4</v>
      </c>
      <c r="N44">
        <v>50</v>
      </c>
      <c r="O44" s="1" t="s">
        <v>20</v>
      </c>
      <c r="P44" s="58">
        <f>tblCF[[#This Row],[Units/wk]]/38</f>
        <v>0.10526315789473684</v>
      </c>
    </row>
    <row r="45" spans="1:16" x14ac:dyDescent="0.25">
      <c r="A45" t="s">
        <v>51</v>
      </c>
      <c r="B45">
        <v>4</v>
      </c>
      <c r="C45">
        <v>50</v>
      </c>
      <c r="D45" s="1" t="s">
        <v>6</v>
      </c>
      <c r="E45" s="98">
        <f>tblSRD[[#This Row],[Units/mo]]/36</f>
        <v>0.1111111111111111</v>
      </c>
      <c r="G45" s="58"/>
      <c r="L45" t="s">
        <v>51</v>
      </c>
      <c r="M45">
        <v>4</v>
      </c>
      <c r="N45">
        <v>50</v>
      </c>
      <c r="O45" s="1" t="s">
        <v>20</v>
      </c>
      <c r="P45" s="58">
        <f>tblCF[[#This Row],[Units/wk]]/38</f>
        <v>0.10526315789473684</v>
      </c>
    </row>
    <row r="46" spans="1:16" x14ac:dyDescent="0.25">
      <c r="A46" t="s">
        <v>53</v>
      </c>
      <c r="B46">
        <v>3</v>
      </c>
      <c r="C46">
        <v>50</v>
      </c>
      <c r="D46" s="1" t="s">
        <v>6</v>
      </c>
      <c r="E46" s="98">
        <f>tblSRD[[#This Row],[Units/mo]]/36</f>
        <v>8.3333333333333329E-2</v>
      </c>
      <c r="G46" s="58"/>
      <c r="L46" t="s">
        <v>53</v>
      </c>
      <c r="M46">
        <v>4</v>
      </c>
      <c r="N46">
        <v>50</v>
      </c>
      <c r="O46" s="1" t="s">
        <v>20</v>
      </c>
      <c r="P46" s="58">
        <f>tblCF[[#This Row],[Units/wk]]/38</f>
        <v>0.10526315789473684</v>
      </c>
    </row>
    <row r="47" spans="1:16" x14ac:dyDescent="0.25">
      <c r="A47" t="s">
        <v>55</v>
      </c>
      <c r="B47">
        <v>3</v>
      </c>
      <c r="C47">
        <v>50</v>
      </c>
      <c r="D47" s="1" t="s">
        <v>6</v>
      </c>
      <c r="E47" s="98">
        <f>tblSRD[[#This Row],[Units/mo]]/36</f>
        <v>8.3333333333333329E-2</v>
      </c>
      <c r="G47" s="58"/>
      <c r="L47" t="s">
        <v>55</v>
      </c>
      <c r="M47">
        <v>4</v>
      </c>
      <c r="N47">
        <v>50</v>
      </c>
      <c r="O47" s="1" t="s">
        <v>20</v>
      </c>
      <c r="P47" s="58">
        <f>tblCF[[#This Row],[Units/wk]]/38</f>
        <v>0.10526315789473684</v>
      </c>
    </row>
    <row r="48" spans="1:16" x14ac:dyDescent="0.25">
      <c r="A48" t="s">
        <v>52</v>
      </c>
      <c r="B48">
        <v>3</v>
      </c>
      <c r="C48">
        <v>50</v>
      </c>
      <c r="D48" s="1" t="s">
        <v>6</v>
      </c>
      <c r="E48" s="98">
        <f>tblSRD[[#This Row],[Units/mo]]/36</f>
        <v>8.3333333333333329E-2</v>
      </c>
      <c r="G48" s="58"/>
      <c r="L48" t="s">
        <v>52</v>
      </c>
      <c r="M48">
        <v>3</v>
      </c>
      <c r="N48">
        <v>50</v>
      </c>
      <c r="O48" s="1" t="s">
        <v>20</v>
      </c>
      <c r="P48" s="58">
        <f>tblCF[[#This Row],[Units/wk]]/38</f>
        <v>7.8947368421052627E-2</v>
      </c>
    </row>
    <row r="49" spans="1:16" x14ac:dyDescent="0.25">
      <c r="A49" t="s">
        <v>50</v>
      </c>
      <c r="B49">
        <v>3</v>
      </c>
      <c r="C49">
        <v>50</v>
      </c>
      <c r="D49" s="1" t="s">
        <v>6</v>
      </c>
      <c r="E49" s="98">
        <f>tblSRD[[#This Row],[Units/mo]]/36</f>
        <v>8.3333333333333329E-2</v>
      </c>
      <c r="G49" s="58"/>
      <c r="L49" t="s">
        <v>50</v>
      </c>
      <c r="M49">
        <v>3</v>
      </c>
      <c r="N49">
        <v>50</v>
      </c>
      <c r="O49" s="1" t="s">
        <v>20</v>
      </c>
      <c r="P49" s="58">
        <f>tblCF[[#This Row],[Units/wk]]/38</f>
        <v>7.8947368421052627E-2</v>
      </c>
    </row>
  </sheetData>
  <pageMargins left="0.7" right="0.7" top="0.75" bottom="0.75" header="0.3" footer="0.3"/>
  <pageSetup orientation="portrait" r:id="rId1"/>
  <ignoredErrors>
    <ignoredError sqref="P5:P49" calculatedColumn="1"/>
  </ignoredErrors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64"/>
  <sheetViews>
    <sheetView tabSelected="1" topLeftCell="A2" workbookViewId="0">
      <selection activeCell="AD32" sqref="AD32"/>
    </sheetView>
  </sheetViews>
  <sheetFormatPr defaultColWidth="9.140625" defaultRowHeight="11.25" x14ac:dyDescent="0.2"/>
  <cols>
    <col min="1" max="1" width="15.7109375" style="7" bestFit="1" customWidth="1"/>
    <col min="2" max="2" width="4.85546875" style="8" bestFit="1" customWidth="1"/>
    <col min="3" max="14" width="6.28515625" style="8" customWidth="1"/>
    <col min="15" max="15" width="4.85546875" style="8" hidden="1" customWidth="1"/>
    <col min="16" max="22" width="6.28515625" style="8" customWidth="1"/>
    <col min="23" max="23" width="4.85546875" style="8" hidden="1" customWidth="1"/>
    <col min="24" max="25" width="6.28515625" style="8" customWidth="1"/>
    <col min="26" max="26" width="9.140625" style="7"/>
    <col min="27" max="28" width="9.140625" style="7" customWidth="1"/>
    <col min="29" max="29" width="9.140625" style="7"/>
    <col min="30" max="30" width="9.140625" style="7" customWidth="1"/>
    <col min="31" max="33" width="9.140625" style="7"/>
    <col min="34" max="34" width="15.7109375" style="7" bestFit="1" customWidth="1"/>
    <col min="35" max="16384" width="9.140625" style="7"/>
  </cols>
  <sheetData>
    <row r="1" spans="1:35" hidden="1" x14ac:dyDescent="0.2">
      <c r="B1" s="102">
        <f>IF('Inv Updates'!B2&gt;=90,IF('Inv Updates'!B2&gt;=300,4,2),1)</f>
        <v>1</v>
      </c>
      <c r="C1" s="102">
        <f>IF('Inv Updates'!C2&gt;=90,IF('Inv Updates'!C2&gt;=300,4,2),1)</f>
        <v>1</v>
      </c>
      <c r="D1" s="102">
        <f>IF('Inv Updates'!D2&gt;=90,IF('Inv Updates'!D2&gt;=300,4,2),1)</f>
        <v>2</v>
      </c>
      <c r="E1" s="102">
        <f>IF('Inv Updates'!E2&gt;=90,IF('Inv Updates'!E2&gt;=300,4,2),1)</f>
        <v>2</v>
      </c>
      <c r="F1" s="102">
        <f>IF('Inv Updates'!F2&gt;=90,IF('Inv Updates'!F2&gt;=300,4,2),1)</f>
        <v>1</v>
      </c>
      <c r="G1" s="102">
        <f>IF('Inv Updates'!G2&gt;=90,IF('Inv Updates'!G2&gt;=300,4,2),1)</f>
        <v>1</v>
      </c>
      <c r="H1" s="102">
        <f>IF('Inv Updates'!H2&gt;=90,IF('Inv Updates'!H2&gt;=300,4,2),1)</f>
        <v>1</v>
      </c>
      <c r="I1" s="102">
        <f>IF('Inv Updates'!I2&gt;=90,IF('Inv Updates'!I2&gt;=300,4,2),1)</f>
        <v>2</v>
      </c>
      <c r="J1" s="102">
        <f>IF('Inv Updates'!J2&gt;=90,IF('Inv Updates'!J2&gt;=300,4,2),1)</f>
        <v>4</v>
      </c>
      <c r="K1" s="102">
        <f>IF('Inv Updates'!K2&gt;=90,IF('Inv Updates'!K2&gt;=300,4,2),1)</f>
        <v>1</v>
      </c>
      <c r="L1" s="102">
        <f>IF('Inv Updates'!L2&gt;=90,IF('Inv Updates'!L2&gt;=300,4,2),1)</f>
        <v>2</v>
      </c>
      <c r="M1" s="102">
        <f>IF('Inv Updates'!M2&gt;=90,IF('Inv Updates'!M2&gt;=300,4,2),1)</f>
        <v>2</v>
      </c>
      <c r="N1" s="102">
        <f>IF('Inv Updates'!N2&gt;=90,IF('Inv Updates'!N2&gt;=300,4,2),1)</f>
        <v>1</v>
      </c>
      <c r="O1" s="102">
        <f>IF('Inv Updates'!O2&gt;=90,IF('Inv Updates'!O2&gt;=300,4,2),1)</f>
        <v>1</v>
      </c>
      <c r="P1" s="102">
        <f>IF('Inv Updates'!P2&gt;=90,IF('Inv Updates'!P2&gt;=300,4,2),1)</f>
        <v>1</v>
      </c>
      <c r="Q1" s="102">
        <f>IF('Inv Updates'!Q2&gt;=90,IF('Inv Updates'!Q2&gt;=300,4,2),1)</f>
        <v>1</v>
      </c>
      <c r="R1" s="102">
        <f>IF('Inv Updates'!R2&gt;=90,IF('Inv Updates'!R2&gt;=300,4,2),1)</f>
        <v>2</v>
      </c>
      <c r="S1" s="102">
        <f>IF('Inv Updates'!S2&gt;=90,IF('Inv Updates'!S2&gt;=300,4,2),1)</f>
        <v>2</v>
      </c>
      <c r="T1" s="102">
        <f>IF('Inv Updates'!T2&gt;=90,IF('Inv Updates'!T2&gt;=300,4,2),1)</f>
        <v>1</v>
      </c>
      <c r="U1" s="102">
        <f>IF('Inv Updates'!U2&gt;=90,IF('Inv Updates'!U2&gt;=300,4,2),1)</f>
        <v>1</v>
      </c>
      <c r="V1" s="102">
        <f>IF('Inv Updates'!V2&gt;=90,IF('Inv Updates'!V2&gt;=300,4,2),1)</f>
        <v>2</v>
      </c>
      <c r="W1" s="102">
        <f>IF('Inv Updates'!W2&gt;=90,IF('Inv Updates'!W2&gt;=300,4,2),1)</f>
        <v>1</v>
      </c>
      <c r="X1" s="102">
        <f>IF('Inv Updates'!X2&gt;=90,IF('Inv Updates'!X2&gt;=300,4,2),1)</f>
        <v>1</v>
      </c>
      <c r="Y1" s="103">
        <f>IF('Inv Updates'!Y2&gt;=90,IF('Inv Updates'!Y2&gt;=300,4,2),1)</f>
        <v>4</v>
      </c>
    </row>
    <row r="2" spans="1:35" x14ac:dyDescent="0.2">
      <c r="A2" s="15"/>
      <c r="B2" s="14">
        <v>-1</v>
      </c>
      <c r="C2" s="14">
        <v>14</v>
      </c>
      <c r="D2" s="14">
        <v>210</v>
      </c>
      <c r="E2" s="14">
        <v>100</v>
      </c>
      <c r="F2" s="14">
        <v>80</v>
      </c>
      <c r="G2" s="14">
        <v>70</v>
      </c>
      <c r="H2" s="14">
        <v>60</v>
      </c>
      <c r="I2" s="14">
        <v>100</v>
      </c>
      <c r="J2" s="14">
        <v>440</v>
      </c>
      <c r="K2" s="14">
        <v>40</v>
      </c>
      <c r="L2" s="14">
        <v>150</v>
      </c>
      <c r="M2" s="14">
        <v>220</v>
      </c>
      <c r="N2" s="14">
        <v>55</v>
      </c>
      <c r="O2" s="14">
        <v>-1</v>
      </c>
      <c r="P2" s="14">
        <v>75</v>
      </c>
      <c r="Q2" s="14">
        <v>70</v>
      </c>
      <c r="R2" s="14">
        <v>200</v>
      </c>
      <c r="S2" s="14">
        <v>225</v>
      </c>
      <c r="T2" s="14">
        <v>80</v>
      </c>
      <c r="U2" s="14">
        <v>60</v>
      </c>
      <c r="V2" s="14">
        <v>140</v>
      </c>
      <c r="W2" s="14">
        <v>-1</v>
      </c>
      <c r="X2" s="14">
        <v>5</v>
      </c>
      <c r="Y2" s="14">
        <v>330</v>
      </c>
      <c r="AH2" s="8"/>
      <c r="AI2" s="8"/>
    </row>
    <row r="3" spans="1:35" x14ac:dyDescent="0.2">
      <c r="A3" s="15"/>
      <c r="B3" s="69" t="s">
        <v>79</v>
      </c>
      <c r="C3" s="70" t="s">
        <v>36</v>
      </c>
      <c r="D3" s="70" t="s">
        <v>95</v>
      </c>
      <c r="E3" s="70" t="s">
        <v>96</v>
      </c>
      <c r="F3" s="70" t="s">
        <v>97</v>
      </c>
      <c r="G3" s="70" t="s">
        <v>98</v>
      </c>
      <c r="H3" s="70" t="s">
        <v>37</v>
      </c>
      <c r="I3" s="70" t="s">
        <v>38</v>
      </c>
      <c r="J3" s="70" t="s">
        <v>99</v>
      </c>
      <c r="K3" s="70" t="s">
        <v>100</v>
      </c>
      <c r="L3" s="70" t="s">
        <v>101</v>
      </c>
      <c r="M3" s="70" t="s">
        <v>39</v>
      </c>
      <c r="N3" s="70" t="s">
        <v>102</v>
      </c>
      <c r="O3" s="70" t="s">
        <v>40</v>
      </c>
      <c r="P3" s="70" t="s">
        <v>41</v>
      </c>
      <c r="Q3" s="70" t="s">
        <v>103</v>
      </c>
      <c r="R3" s="70" t="s">
        <v>104</v>
      </c>
      <c r="S3" s="70" t="s">
        <v>105</v>
      </c>
      <c r="T3" s="70" t="s">
        <v>106</v>
      </c>
      <c r="U3" s="70" t="s">
        <v>107</v>
      </c>
      <c r="V3" s="70" t="s">
        <v>108</v>
      </c>
      <c r="W3" s="70" t="s">
        <v>42</v>
      </c>
      <c r="X3" s="70" t="s">
        <v>109</v>
      </c>
      <c r="Y3" s="70" t="s">
        <v>110</v>
      </c>
      <c r="AH3" s="8"/>
      <c r="AI3" s="8"/>
    </row>
    <row r="4" spans="1:35" ht="12" hidden="1" thickBot="1" x14ac:dyDescent="0.25">
      <c r="A4" s="68"/>
      <c r="B4" s="67" t="str">
        <f ca="1">IF(TODAY()-B5&gt;7,"X","OK")</f>
        <v>X</v>
      </c>
      <c r="C4" s="67" t="str">
        <f t="shared" ref="C4:Y4" ca="1" si="0">IF(TODAY()-C5&gt;7,"X","OK")</f>
        <v>X</v>
      </c>
      <c r="D4" s="67" t="str">
        <f t="shared" ca="1" si="0"/>
        <v>X</v>
      </c>
      <c r="E4" s="67" t="str">
        <f t="shared" ca="1" si="0"/>
        <v>X</v>
      </c>
      <c r="F4" s="67" t="str">
        <f t="shared" ca="1" si="0"/>
        <v>X</v>
      </c>
      <c r="G4" s="67" t="str">
        <f t="shared" ca="1" si="0"/>
        <v>X</v>
      </c>
      <c r="H4" s="67" t="str">
        <f t="shared" ca="1" si="0"/>
        <v>X</v>
      </c>
      <c r="I4" s="67" t="str">
        <f t="shared" ca="1" si="0"/>
        <v>X</v>
      </c>
      <c r="J4" s="67" t="str">
        <f t="shared" ca="1" si="0"/>
        <v>X</v>
      </c>
      <c r="K4" s="67" t="str">
        <f t="shared" ca="1" si="0"/>
        <v>X</v>
      </c>
      <c r="L4" s="67" t="str">
        <f t="shared" ca="1" si="0"/>
        <v>X</v>
      </c>
      <c r="M4" s="67" t="str">
        <f t="shared" ca="1" si="0"/>
        <v>X</v>
      </c>
      <c r="N4" s="67" t="str">
        <f t="shared" ca="1" si="0"/>
        <v>X</v>
      </c>
      <c r="O4" s="67" t="str">
        <f t="shared" ca="1" si="0"/>
        <v>X</v>
      </c>
      <c r="P4" s="67" t="str">
        <f t="shared" ca="1" si="0"/>
        <v>X</v>
      </c>
      <c r="Q4" s="67" t="str">
        <f t="shared" ca="1" si="0"/>
        <v>X</v>
      </c>
      <c r="R4" s="67" t="str">
        <f t="shared" ca="1" si="0"/>
        <v>X</v>
      </c>
      <c r="S4" s="67" t="str">
        <f t="shared" ca="1" si="0"/>
        <v>X</v>
      </c>
      <c r="T4" s="67" t="str">
        <f t="shared" ca="1" si="0"/>
        <v>X</v>
      </c>
      <c r="U4" s="67" t="str">
        <f t="shared" ca="1" si="0"/>
        <v>X</v>
      </c>
      <c r="V4" s="67" t="str">
        <f t="shared" ca="1" si="0"/>
        <v>X</v>
      </c>
      <c r="W4" s="67" t="str">
        <f t="shared" ca="1" si="0"/>
        <v>X</v>
      </c>
      <c r="X4" s="67" t="str">
        <f t="shared" ca="1" si="0"/>
        <v>X</v>
      </c>
      <c r="Y4" s="67" t="str">
        <f t="shared" ca="1" si="0"/>
        <v>X</v>
      </c>
      <c r="AH4" s="8"/>
      <c r="AI4" s="8"/>
    </row>
    <row r="5" spans="1:35" ht="12" thickBot="1" x14ac:dyDescent="0.25">
      <c r="A5" s="65" t="s">
        <v>44</v>
      </c>
      <c r="B5" s="66">
        <v>45672</v>
      </c>
      <c r="C5" s="66">
        <v>45672</v>
      </c>
      <c r="D5" s="66">
        <v>45672</v>
      </c>
      <c r="E5" s="66">
        <v>45672</v>
      </c>
      <c r="F5" s="66">
        <v>45672</v>
      </c>
      <c r="G5" s="66">
        <v>45672</v>
      </c>
      <c r="H5" s="66">
        <v>45672</v>
      </c>
      <c r="I5" s="66">
        <v>45672</v>
      </c>
      <c r="J5" s="66">
        <v>45672</v>
      </c>
      <c r="K5" s="66">
        <v>45672</v>
      </c>
      <c r="L5" s="66">
        <v>45672</v>
      </c>
      <c r="M5" s="66">
        <v>45672</v>
      </c>
      <c r="N5" s="66">
        <v>45672</v>
      </c>
      <c r="O5" s="66">
        <v>44927</v>
      </c>
      <c r="P5" s="66">
        <v>45672</v>
      </c>
      <c r="Q5" s="66">
        <v>45672</v>
      </c>
      <c r="R5" s="66">
        <v>45672</v>
      </c>
      <c r="S5" s="66">
        <v>45672</v>
      </c>
      <c r="T5" s="66">
        <v>45672</v>
      </c>
      <c r="U5" s="66">
        <v>45672</v>
      </c>
      <c r="V5" s="66">
        <v>45672</v>
      </c>
      <c r="W5" s="66">
        <v>45244</v>
      </c>
      <c r="X5" s="66">
        <v>45672</v>
      </c>
      <c r="Y5" s="66">
        <v>45672</v>
      </c>
      <c r="AH5" s="8"/>
      <c r="AI5" s="8"/>
    </row>
    <row r="6" spans="1:35" ht="12" thickBot="1" x14ac:dyDescent="0.25">
      <c r="A6" s="71" t="s">
        <v>47</v>
      </c>
      <c r="B6" s="77">
        <v>0</v>
      </c>
      <c r="C6" s="80">
        <v>4</v>
      </c>
      <c r="D6" s="80">
        <v>30</v>
      </c>
      <c r="E6" s="80">
        <v>20</v>
      </c>
      <c r="F6" s="80">
        <v>13</v>
      </c>
      <c r="G6" s="82">
        <v>9</v>
      </c>
      <c r="H6" s="80">
        <v>14</v>
      </c>
      <c r="I6" s="80">
        <v>31</v>
      </c>
      <c r="J6" s="80">
        <v>42</v>
      </c>
      <c r="K6" s="80">
        <v>10</v>
      </c>
      <c r="L6" s="80">
        <v>18</v>
      </c>
      <c r="M6" s="80">
        <v>74</v>
      </c>
      <c r="N6" s="80">
        <v>9</v>
      </c>
      <c r="O6" s="80">
        <v>0</v>
      </c>
      <c r="P6" s="80">
        <v>27</v>
      </c>
      <c r="Q6" s="80">
        <v>50</v>
      </c>
      <c r="R6" s="80">
        <v>97</v>
      </c>
      <c r="S6" s="80">
        <v>137</v>
      </c>
      <c r="T6" s="80">
        <v>28</v>
      </c>
      <c r="U6" s="80">
        <v>9</v>
      </c>
      <c r="V6" s="80">
        <v>43</v>
      </c>
      <c r="W6" s="80">
        <v>0</v>
      </c>
      <c r="X6" s="80">
        <v>2</v>
      </c>
      <c r="Y6" s="74">
        <v>92</v>
      </c>
      <c r="AH6" s="8"/>
      <c r="AI6" s="63"/>
    </row>
    <row r="7" spans="1:35" ht="12" x14ac:dyDescent="0.2">
      <c r="A7" s="72" t="s">
        <v>14</v>
      </c>
      <c r="B7" s="78">
        <v>0</v>
      </c>
      <c r="C7" s="14">
        <v>9</v>
      </c>
      <c r="D7" s="14">
        <v>41</v>
      </c>
      <c r="E7" s="14">
        <v>88</v>
      </c>
      <c r="F7" s="14">
        <v>6</v>
      </c>
      <c r="G7" s="14">
        <v>23</v>
      </c>
      <c r="H7" s="14">
        <v>13</v>
      </c>
      <c r="I7" s="14">
        <v>43</v>
      </c>
      <c r="J7" s="14">
        <v>75</v>
      </c>
      <c r="K7" s="14">
        <v>21</v>
      </c>
      <c r="L7" s="14">
        <v>38</v>
      </c>
      <c r="M7" s="14">
        <v>38</v>
      </c>
      <c r="N7" s="14">
        <v>9</v>
      </c>
      <c r="O7" s="14">
        <v>0</v>
      </c>
      <c r="P7" s="14">
        <v>13</v>
      </c>
      <c r="Q7" s="14">
        <v>20</v>
      </c>
      <c r="R7" s="14">
        <v>62</v>
      </c>
      <c r="S7" s="14">
        <v>23</v>
      </c>
      <c r="T7" s="14">
        <v>6</v>
      </c>
      <c r="U7" s="14">
        <v>7</v>
      </c>
      <c r="V7" s="14">
        <v>33</v>
      </c>
      <c r="W7" s="14">
        <v>0</v>
      </c>
      <c r="X7" s="14">
        <v>3</v>
      </c>
      <c r="Y7" s="75">
        <v>21</v>
      </c>
      <c r="AA7" s="113" t="s">
        <v>87</v>
      </c>
      <c r="AB7" s="114"/>
      <c r="AC7" s="114"/>
      <c r="AD7" s="114"/>
      <c r="AE7" s="114"/>
      <c r="AF7" s="114"/>
      <c r="AG7" s="114"/>
      <c r="AH7" s="115"/>
      <c r="AI7" s="8"/>
    </row>
    <row r="8" spans="1:35" ht="12" x14ac:dyDescent="0.2">
      <c r="A8" s="72" t="s">
        <v>59</v>
      </c>
      <c r="B8" s="78">
        <v>0</v>
      </c>
      <c r="C8" s="14">
        <v>4</v>
      </c>
      <c r="D8" s="14">
        <v>42</v>
      </c>
      <c r="E8" s="14">
        <v>44</v>
      </c>
      <c r="F8" s="14">
        <v>7</v>
      </c>
      <c r="G8" s="14">
        <v>17</v>
      </c>
      <c r="H8" s="14">
        <v>42</v>
      </c>
      <c r="I8" s="14">
        <v>40</v>
      </c>
      <c r="J8" s="14">
        <v>95</v>
      </c>
      <c r="K8" s="14">
        <v>20</v>
      </c>
      <c r="L8" s="14">
        <v>79</v>
      </c>
      <c r="M8" s="14">
        <v>13</v>
      </c>
      <c r="N8" s="14">
        <v>7</v>
      </c>
      <c r="O8" s="14">
        <v>0</v>
      </c>
      <c r="P8" s="14">
        <v>13</v>
      </c>
      <c r="Q8" s="14">
        <v>20</v>
      </c>
      <c r="R8" s="14">
        <v>29</v>
      </c>
      <c r="S8" s="14">
        <v>70</v>
      </c>
      <c r="T8" s="14">
        <v>5</v>
      </c>
      <c r="U8" s="14">
        <v>15</v>
      </c>
      <c r="V8" s="14">
        <v>37</v>
      </c>
      <c r="W8" s="14">
        <v>0</v>
      </c>
      <c r="X8" s="14">
        <v>10</v>
      </c>
      <c r="Y8" s="75">
        <v>17</v>
      </c>
      <c r="AA8" s="116" t="s">
        <v>86</v>
      </c>
      <c r="AB8" s="117"/>
      <c r="AC8" s="117"/>
      <c r="AD8" s="117"/>
      <c r="AE8" s="117"/>
      <c r="AF8" s="117"/>
      <c r="AG8" s="117"/>
      <c r="AH8" s="118"/>
      <c r="AI8" s="8"/>
    </row>
    <row r="9" spans="1:35" ht="12.75" thickBot="1" x14ac:dyDescent="0.25">
      <c r="A9" s="72" t="s">
        <v>16</v>
      </c>
      <c r="B9" s="78">
        <v>0</v>
      </c>
      <c r="C9" s="14">
        <v>1</v>
      </c>
      <c r="D9" s="14">
        <v>16</v>
      </c>
      <c r="E9" s="14">
        <v>10</v>
      </c>
      <c r="F9" s="14">
        <v>9</v>
      </c>
      <c r="G9" s="14">
        <v>4</v>
      </c>
      <c r="H9" s="14">
        <v>10</v>
      </c>
      <c r="I9" s="14">
        <v>10</v>
      </c>
      <c r="J9" s="14">
        <v>141</v>
      </c>
      <c r="K9" s="14">
        <v>7</v>
      </c>
      <c r="L9" s="14">
        <v>10</v>
      </c>
      <c r="M9" s="14">
        <v>30</v>
      </c>
      <c r="N9" s="14">
        <v>5</v>
      </c>
      <c r="O9" s="14">
        <v>0</v>
      </c>
      <c r="P9" s="14">
        <v>1</v>
      </c>
      <c r="Q9" s="14">
        <v>6</v>
      </c>
      <c r="R9" s="14">
        <v>34</v>
      </c>
      <c r="S9" s="14">
        <v>4</v>
      </c>
      <c r="T9" s="14">
        <v>9</v>
      </c>
      <c r="U9" s="14">
        <v>7</v>
      </c>
      <c r="V9" s="14">
        <v>0</v>
      </c>
      <c r="W9" s="14">
        <v>0</v>
      </c>
      <c r="X9" s="14">
        <v>0</v>
      </c>
      <c r="Y9" s="75">
        <v>15</v>
      </c>
      <c r="AA9" s="119" t="s">
        <v>85</v>
      </c>
      <c r="AB9" s="120"/>
      <c r="AC9" s="120"/>
      <c r="AD9" s="120"/>
      <c r="AE9" s="120"/>
      <c r="AF9" s="120"/>
      <c r="AG9" s="120"/>
      <c r="AH9" s="121"/>
      <c r="AI9" s="8"/>
    </row>
    <row r="10" spans="1:35" x14ac:dyDescent="0.2">
      <c r="A10" s="72" t="s">
        <v>17</v>
      </c>
      <c r="B10" s="78">
        <v>0</v>
      </c>
      <c r="C10" s="14">
        <v>4</v>
      </c>
      <c r="D10" s="14">
        <v>3</v>
      </c>
      <c r="E10" s="14">
        <v>2</v>
      </c>
      <c r="F10" s="14">
        <v>0</v>
      </c>
      <c r="G10" s="14">
        <v>1</v>
      </c>
      <c r="H10" s="14">
        <v>1</v>
      </c>
      <c r="I10" s="14">
        <v>0</v>
      </c>
      <c r="J10" s="14">
        <v>3</v>
      </c>
      <c r="K10" s="14">
        <v>2</v>
      </c>
      <c r="L10" s="14">
        <v>2</v>
      </c>
      <c r="M10" s="14">
        <v>0</v>
      </c>
      <c r="N10" s="14">
        <v>3</v>
      </c>
      <c r="O10" s="14">
        <v>0</v>
      </c>
      <c r="P10" s="14">
        <v>1</v>
      </c>
      <c r="Q10" s="14">
        <v>1</v>
      </c>
      <c r="R10" s="14">
        <v>2</v>
      </c>
      <c r="S10" s="14">
        <v>1</v>
      </c>
      <c r="T10" s="14">
        <v>1</v>
      </c>
      <c r="U10" s="14">
        <v>0</v>
      </c>
      <c r="V10" s="14">
        <v>2</v>
      </c>
      <c r="W10" s="14">
        <v>0</v>
      </c>
      <c r="X10" s="14">
        <v>1</v>
      </c>
      <c r="Y10" s="75">
        <v>0</v>
      </c>
      <c r="AI10" s="8"/>
    </row>
    <row r="11" spans="1:35" x14ac:dyDescent="0.2">
      <c r="A11" s="72" t="s">
        <v>18</v>
      </c>
      <c r="B11" s="78">
        <v>0</v>
      </c>
      <c r="C11" s="14">
        <v>0</v>
      </c>
      <c r="D11" s="14">
        <v>35</v>
      </c>
      <c r="E11" s="14">
        <v>20</v>
      </c>
      <c r="F11" s="14">
        <v>5</v>
      </c>
      <c r="G11" s="14">
        <v>7</v>
      </c>
      <c r="H11" s="14">
        <v>17</v>
      </c>
      <c r="I11" s="14">
        <v>17</v>
      </c>
      <c r="J11" s="14">
        <v>24</v>
      </c>
      <c r="K11" s="14">
        <v>15</v>
      </c>
      <c r="L11" s="14">
        <v>23</v>
      </c>
      <c r="M11" s="14">
        <v>20</v>
      </c>
      <c r="N11" s="14">
        <v>10</v>
      </c>
      <c r="O11" s="14">
        <v>0</v>
      </c>
      <c r="P11" s="14">
        <v>6</v>
      </c>
      <c r="Q11" s="14">
        <v>8</v>
      </c>
      <c r="R11" s="14">
        <v>55</v>
      </c>
      <c r="S11" s="14">
        <v>22</v>
      </c>
      <c r="T11" s="14">
        <v>2</v>
      </c>
      <c r="U11" s="14">
        <v>3</v>
      </c>
      <c r="V11" s="14">
        <v>12</v>
      </c>
      <c r="W11" s="14">
        <v>0</v>
      </c>
      <c r="X11" s="14">
        <v>2</v>
      </c>
      <c r="Y11" s="75">
        <v>15</v>
      </c>
      <c r="AI11" s="8"/>
    </row>
    <row r="12" spans="1:35" x14ac:dyDescent="0.2">
      <c r="A12" s="72" t="s">
        <v>19</v>
      </c>
      <c r="B12" s="78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26</v>
      </c>
      <c r="I12" s="14">
        <v>7</v>
      </c>
      <c r="J12" s="14">
        <v>0</v>
      </c>
      <c r="K12" s="14">
        <v>0</v>
      </c>
      <c r="L12" s="14">
        <v>0</v>
      </c>
      <c r="M12" s="14">
        <v>7</v>
      </c>
      <c r="N12" s="14">
        <v>0</v>
      </c>
      <c r="O12" s="14">
        <v>0</v>
      </c>
      <c r="P12" s="14">
        <v>0</v>
      </c>
      <c r="Q12" s="14">
        <v>0</v>
      </c>
      <c r="R12" s="14">
        <v>2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1</v>
      </c>
      <c r="Y12" s="75">
        <v>13</v>
      </c>
      <c r="AI12" s="8"/>
    </row>
    <row r="13" spans="1:35" x14ac:dyDescent="0.2">
      <c r="A13" s="72" t="s">
        <v>21</v>
      </c>
      <c r="B13" s="78">
        <v>0</v>
      </c>
      <c r="C13" s="14">
        <v>0</v>
      </c>
      <c r="D13" s="14">
        <v>0</v>
      </c>
      <c r="E13" s="14">
        <v>1</v>
      </c>
      <c r="F13" s="14">
        <v>0</v>
      </c>
      <c r="G13" s="14">
        <v>0</v>
      </c>
      <c r="H13" s="14">
        <v>31</v>
      </c>
      <c r="I13" s="14">
        <v>0</v>
      </c>
      <c r="J13" s="14">
        <v>0</v>
      </c>
      <c r="K13" s="14">
        <v>4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1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2</v>
      </c>
      <c r="Y13" s="75">
        <v>0</v>
      </c>
      <c r="AI13" s="8"/>
    </row>
    <row r="14" spans="1:35" x14ac:dyDescent="0.2">
      <c r="A14" s="72" t="s">
        <v>58</v>
      </c>
      <c r="B14" s="78">
        <v>0</v>
      </c>
      <c r="C14" s="14">
        <v>2</v>
      </c>
      <c r="D14" s="14">
        <v>4</v>
      </c>
      <c r="E14" s="14">
        <v>1</v>
      </c>
      <c r="F14" s="14">
        <v>1</v>
      </c>
      <c r="G14" s="14">
        <v>1</v>
      </c>
      <c r="H14" s="14">
        <v>0</v>
      </c>
      <c r="I14" s="14">
        <v>0</v>
      </c>
      <c r="J14" s="14">
        <v>24</v>
      </c>
      <c r="K14" s="14">
        <v>2</v>
      </c>
      <c r="L14" s="14">
        <v>12</v>
      </c>
      <c r="M14" s="14">
        <v>1</v>
      </c>
      <c r="N14" s="14">
        <v>1</v>
      </c>
      <c r="O14" s="14">
        <v>0</v>
      </c>
      <c r="P14" s="14">
        <v>3</v>
      </c>
      <c r="Q14" s="14">
        <v>1</v>
      </c>
      <c r="R14" s="14">
        <v>45</v>
      </c>
      <c r="S14" s="14">
        <v>5</v>
      </c>
      <c r="T14" s="14">
        <v>0</v>
      </c>
      <c r="U14" s="14">
        <v>0</v>
      </c>
      <c r="V14" s="14">
        <v>7</v>
      </c>
      <c r="W14" s="14">
        <v>0</v>
      </c>
      <c r="X14" s="14">
        <v>0</v>
      </c>
      <c r="Y14" s="75">
        <v>5</v>
      </c>
      <c r="AI14" s="8"/>
    </row>
    <row r="15" spans="1:35" x14ac:dyDescent="0.2">
      <c r="A15" s="72" t="s">
        <v>70</v>
      </c>
      <c r="B15" s="78">
        <v>0</v>
      </c>
      <c r="C15" s="14">
        <v>2</v>
      </c>
      <c r="D15" s="14">
        <v>2</v>
      </c>
      <c r="E15" s="14">
        <v>4</v>
      </c>
      <c r="F15" s="14">
        <v>0</v>
      </c>
      <c r="G15" s="14">
        <v>0</v>
      </c>
      <c r="H15" s="14">
        <v>0</v>
      </c>
      <c r="I15" s="14">
        <v>3</v>
      </c>
      <c r="J15" s="14">
        <v>8</v>
      </c>
      <c r="K15" s="14">
        <v>2</v>
      </c>
      <c r="L15" s="14">
        <v>9</v>
      </c>
      <c r="M15" s="14">
        <v>1</v>
      </c>
      <c r="N15" s="14">
        <v>1</v>
      </c>
      <c r="O15" s="14">
        <v>0</v>
      </c>
      <c r="P15" s="14">
        <v>1</v>
      </c>
      <c r="Q15" s="14">
        <v>2</v>
      </c>
      <c r="R15" s="14">
        <v>1</v>
      </c>
      <c r="S15" s="14">
        <v>5</v>
      </c>
      <c r="T15" s="14">
        <v>0</v>
      </c>
      <c r="U15" s="14">
        <v>2</v>
      </c>
      <c r="V15" s="14">
        <v>3</v>
      </c>
      <c r="W15" s="14">
        <v>0</v>
      </c>
      <c r="X15" s="14">
        <v>0</v>
      </c>
      <c r="Y15" s="75">
        <v>3</v>
      </c>
      <c r="AI15" s="8"/>
    </row>
    <row r="16" spans="1:35" x14ac:dyDescent="0.2">
      <c r="A16" s="72" t="s">
        <v>71</v>
      </c>
      <c r="B16" s="78">
        <v>0</v>
      </c>
      <c r="C16" s="14">
        <v>2</v>
      </c>
      <c r="D16" s="14">
        <v>2</v>
      </c>
      <c r="E16" s="14">
        <v>3</v>
      </c>
      <c r="F16" s="14">
        <v>0</v>
      </c>
      <c r="G16" s="14">
        <v>0</v>
      </c>
      <c r="H16" s="14">
        <v>0</v>
      </c>
      <c r="I16" s="14">
        <v>4</v>
      </c>
      <c r="J16" s="14">
        <v>7</v>
      </c>
      <c r="K16" s="14">
        <v>2</v>
      </c>
      <c r="L16" s="14">
        <v>9</v>
      </c>
      <c r="M16" s="14">
        <v>3</v>
      </c>
      <c r="N16" s="14">
        <v>1</v>
      </c>
      <c r="O16" s="14">
        <v>0</v>
      </c>
      <c r="P16" s="14">
        <v>2</v>
      </c>
      <c r="Q16" s="14">
        <v>1</v>
      </c>
      <c r="R16" s="14">
        <v>6</v>
      </c>
      <c r="S16" s="14">
        <v>0</v>
      </c>
      <c r="T16" s="14">
        <v>2</v>
      </c>
      <c r="U16" s="14">
        <v>1</v>
      </c>
      <c r="V16" s="14">
        <v>3</v>
      </c>
      <c r="W16" s="14">
        <v>0</v>
      </c>
      <c r="X16" s="14">
        <v>0</v>
      </c>
      <c r="Y16" s="75">
        <v>3</v>
      </c>
      <c r="AI16" s="8"/>
    </row>
    <row r="17" spans="1:35" x14ac:dyDescent="0.2">
      <c r="A17" s="72" t="s">
        <v>72</v>
      </c>
      <c r="B17" s="78">
        <v>0</v>
      </c>
      <c r="C17" s="14">
        <v>2</v>
      </c>
      <c r="D17" s="14">
        <v>2</v>
      </c>
      <c r="E17" s="14">
        <v>5</v>
      </c>
      <c r="F17" s="14">
        <v>0</v>
      </c>
      <c r="G17" s="14">
        <v>0</v>
      </c>
      <c r="H17" s="14">
        <v>0</v>
      </c>
      <c r="I17" s="14">
        <v>0</v>
      </c>
      <c r="J17" s="14">
        <v>5</v>
      </c>
      <c r="K17" s="14">
        <v>2</v>
      </c>
      <c r="L17" s="14">
        <v>5</v>
      </c>
      <c r="M17" s="14">
        <v>0</v>
      </c>
      <c r="N17" s="14">
        <v>2</v>
      </c>
      <c r="O17" s="14">
        <v>0</v>
      </c>
      <c r="P17" s="14">
        <v>2</v>
      </c>
      <c r="Q17" s="14">
        <v>0</v>
      </c>
      <c r="R17" s="14">
        <v>6</v>
      </c>
      <c r="S17" s="14">
        <v>0</v>
      </c>
      <c r="T17" s="14">
        <v>0</v>
      </c>
      <c r="U17" s="14">
        <v>0</v>
      </c>
      <c r="V17" s="14">
        <v>3</v>
      </c>
      <c r="W17" s="14">
        <v>0</v>
      </c>
      <c r="X17" s="14">
        <v>0</v>
      </c>
      <c r="Y17" s="75">
        <v>5</v>
      </c>
      <c r="AI17" s="8"/>
    </row>
    <row r="18" spans="1:35" x14ac:dyDescent="0.2">
      <c r="A18" s="72" t="s">
        <v>73</v>
      </c>
      <c r="B18" s="78">
        <v>0</v>
      </c>
      <c r="C18" s="14">
        <v>2</v>
      </c>
      <c r="D18" s="14">
        <v>3</v>
      </c>
      <c r="E18" s="14">
        <v>4</v>
      </c>
      <c r="F18" s="14">
        <v>1</v>
      </c>
      <c r="G18" s="14">
        <v>0</v>
      </c>
      <c r="H18" s="14">
        <v>0</v>
      </c>
      <c r="I18" s="14">
        <v>5</v>
      </c>
      <c r="J18" s="14">
        <v>5</v>
      </c>
      <c r="K18" s="14">
        <v>2</v>
      </c>
      <c r="L18" s="14">
        <v>7</v>
      </c>
      <c r="M18" s="14">
        <v>0</v>
      </c>
      <c r="N18" s="14">
        <v>1</v>
      </c>
      <c r="O18" s="14">
        <v>0</v>
      </c>
      <c r="P18" s="14">
        <v>1</v>
      </c>
      <c r="Q18" s="14">
        <v>5</v>
      </c>
      <c r="R18" s="14">
        <v>93</v>
      </c>
      <c r="S18" s="14">
        <v>4</v>
      </c>
      <c r="T18" s="14">
        <v>3</v>
      </c>
      <c r="U18" s="14">
        <v>3</v>
      </c>
      <c r="V18" s="14">
        <v>6</v>
      </c>
      <c r="W18" s="14">
        <v>0</v>
      </c>
      <c r="X18" s="14">
        <v>0</v>
      </c>
      <c r="Y18" s="75">
        <v>3</v>
      </c>
      <c r="AI18" s="8"/>
    </row>
    <row r="19" spans="1:35" x14ac:dyDescent="0.2">
      <c r="A19" s="72" t="s">
        <v>74</v>
      </c>
      <c r="B19" s="78">
        <v>0</v>
      </c>
      <c r="C19" s="14">
        <v>2</v>
      </c>
      <c r="D19" s="14">
        <v>2</v>
      </c>
      <c r="E19" s="14">
        <v>4</v>
      </c>
      <c r="F19" s="14">
        <v>0</v>
      </c>
      <c r="G19" s="14">
        <v>0</v>
      </c>
      <c r="H19" s="14">
        <v>0</v>
      </c>
      <c r="I19" s="14">
        <v>3</v>
      </c>
      <c r="J19" s="14">
        <v>7</v>
      </c>
      <c r="K19" s="14">
        <v>2</v>
      </c>
      <c r="L19" s="14">
        <v>4</v>
      </c>
      <c r="M19" s="14">
        <v>0</v>
      </c>
      <c r="N19" s="14">
        <v>2</v>
      </c>
      <c r="O19" s="14">
        <v>0</v>
      </c>
      <c r="P19" s="14">
        <v>2</v>
      </c>
      <c r="Q19" s="14">
        <v>3</v>
      </c>
      <c r="R19" s="14">
        <v>6</v>
      </c>
      <c r="S19" s="14">
        <v>3</v>
      </c>
      <c r="T19" s="14">
        <v>2</v>
      </c>
      <c r="U19" s="14">
        <v>3</v>
      </c>
      <c r="V19" s="14">
        <v>5</v>
      </c>
      <c r="W19" s="14">
        <v>0</v>
      </c>
      <c r="X19" s="14">
        <v>0</v>
      </c>
      <c r="Y19" s="75">
        <v>3</v>
      </c>
      <c r="AI19" s="8"/>
    </row>
    <row r="20" spans="1:35" x14ac:dyDescent="0.2">
      <c r="A20" s="72" t="s">
        <v>26</v>
      </c>
      <c r="B20" s="78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26</v>
      </c>
      <c r="I20" s="14">
        <v>0</v>
      </c>
      <c r="J20" s="14">
        <v>0</v>
      </c>
      <c r="K20" s="14">
        <v>0</v>
      </c>
      <c r="L20" s="14">
        <v>0</v>
      </c>
      <c r="M20" s="14">
        <v>14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3</v>
      </c>
      <c r="Y20" s="75">
        <v>0</v>
      </c>
      <c r="AI20" s="8"/>
    </row>
    <row r="21" spans="1:35" x14ac:dyDescent="0.2">
      <c r="A21" s="72" t="s">
        <v>27</v>
      </c>
      <c r="B21" s="78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91</v>
      </c>
      <c r="I21" s="14">
        <v>6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1</v>
      </c>
      <c r="V21" s="14">
        <v>0</v>
      </c>
      <c r="W21" s="14">
        <v>0</v>
      </c>
      <c r="X21" s="14">
        <v>5</v>
      </c>
      <c r="Y21" s="75">
        <v>0</v>
      </c>
      <c r="AI21" s="8"/>
    </row>
    <row r="22" spans="1:35" x14ac:dyDescent="0.2">
      <c r="A22" s="72" t="s">
        <v>22</v>
      </c>
      <c r="B22" s="78">
        <v>0</v>
      </c>
      <c r="C22" s="14">
        <v>7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4</v>
      </c>
      <c r="Y22" s="75">
        <v>0</v>
      </c>
      <c r="AI22" s="8"/>
    </row>
    <row r="23" spans="1:35" x14ac:dyDescent="0.2">
      <c r="A23" s="72" t="s">
        <v>23</v>
      </c>
      <c r="B23" s="78">
        <v>0</v>
      </c>
      <c r="C23" s="14">
        <v>6</v>
      </c>
      <c r="D23" s="14">
        <v>1</v>
      </c>
      <c r="E23" s="14">
        <v>0</v>
      </c>
      <c r="F23" s="14">
        <v>36</v>
      </c>
      <c r="G23" s="14">
        <v>0</v>
      </c>
      <c r="H23" s="14">
        <v>0</v>
      </c>
      <c r="I23" s="14">
        <v>0</v>
      </c>
      <c r="J23" s="14">
        <v>2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5</v>
      </c>
      <c r="Y23" s="75">
        <v>4</v>
      </c>
      <c r="AI23" s="8"/>
    </row>
    <row r="24" spans="1:35" x14ac:dyDescent="0.2">
      <c r="A24" s="72" t="s">
        <v>24</v>
      </c>
      <c r="B24" s="78">
        <v>0</v>
      </c>
      <c r="C24" s="14">
        <v>4</v>
      </c>
      <c r="D24" s="14">
        <v>12</v>
      </c>
      <c r="E24" s="14">
        <v>11</v>
      </c>
      <c r="F24" s="14">
        <v>34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29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8</v>
      </c>
      <c r="Y24" s="75">
        <v>0</v>
      </c>
      <c r="AI24" s="8"/>
    </row>
    <row r="25" spans="1:35" x14ac:dyDescent="0.2">
      <c r="A25" s="72" t="s">
        <v>25</v>
      </c>
      <c r="B25" s="78">
        <v>0</v>
      </c>
      <c r="C25" s="14">
        <v>5</v>
      </c>
      <c r="D25" s="14">
        <v>11</v>
      </c>
      <c r="E25" s="14">
        <v>1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10</v>
      </c>
      <c r="N25" s="14">
        <v>0</v>
      </c>
      <c r="O25" s="14">
        <v>0</v>
      </c>
      <c r="P25" s="14">
        <v>0</v>
      </c>
      <c r="Q25" s="14">
        <v>0</v>
      </c>
      <c r="R25" s="14">
        <v>1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5</v>
      </c>
      <c r="Y25" s="75">
        <v>6</v>
      </c>
      <c r="AI25" s="8"/>
    </row>
    <row r="26" spans="1:35" x14ac:dyDescent="0.2">
      <c r="A26" s="72" t="s">
        <v>57</v>
      </c>
      <c r="B26" s="78">
        <v>0</v>
      </c>
      <c r="C26" s="14">
        <v>0</v>
      </c>
      <c r="D26" s="14">
        <v>3</v>
      </c>
      <c r="E26" s="14">
        <v>8</v>
      </c>
      <c r="F26" s="14">
        <v>3</v>
      </c>
      <c r="G26" s="14">
        <v>5</v>
      </c>
      <c r="H26" s="14">
        <v>0</v>
      </c>
      <c r="I26" s="14">
        <v>0</v>
      </c>
      <c r="J26" s="14">
        <v>9</v>
      </c>
      <c r="K26" s="14">
        <v>1</v>
      </c>
      <c r="L26" s="14">
        <v>10</v>
      </c>
      <c r="M26" s="14">
        <v>0</v>
      </c>
      <c r="N26" s="14">
        <v>1</v>
      </c>
      <c r="O26" s="14">
        <v>0</v>
      </c>
      <c r="P26" s="14">
        <v>9</v>
      </c>
      <c r="Q26" s="14">
        <v>0</v>
      </c>
      <c r="R26" s="14">
        <v>30</v>
      </c>
      <c r="S26" s="14">
        <v>41</v>
      </c>
      <c r="T26" s="14">
        <v>0</v>
      </c>
      <c r="U26" s="14">
        <v>0</v>
      </c>
      <c r="V26" s="14">
        <v>14</v>
      </c>
      <c r="W26" s="14">
        <v>0</v>
      </c>
      <c r="X26" s="14">
        <v>0</v>
      </c>
      <c r="Y26" s="75">
        <v>22</v>
      </c>
      <c r="AI26" s="8"/>
    </row>
    <row r="27" spans="1:35" x14ac:dyDescent="0.2">
      <c r="A27" s="72" t="s">
        <v>48</v>
      </c>
      <c r="B27" s="78">
        <v>0</v>
      </c>
      <c r="C27" s="14">
        <v>0</v>
      </c>
      <c r="D27" s="14">
        <v>15</v>
      </c>
      <c r="E27" s="14">
        <v>8</v>
      </c>
      <c r="F27" s="14">
        <v>2</v>
      </c>
      <c r="G27" s="14">
        <v>4</v>
      </c>
      <c r="H27" s="14">
        <v>0</v>
      </c>
      <c r="I27" s="14">
        <v>0</v>
      </c>
      <c r="J27" s="14">
        <v>62</v>
      </c>
      <c r="K27" s="14">
        <v>1</v>
      </c>
      <c r="L27" s="14">
        <v>10</v>
      </c>
      <c r="M27" s="14">
        <v>0</v>
      </c>
      <c r="N27" s="14">
        <v>1</v>
      </c>
      <c r="O27" s="14">
        <v>0</v>
      </c>
      <c r="P27" s="14">
        <v>9</v>
      </c>
      <c r="Q27" s="14">
        <v>11</v>
      </c>
      <c r="R27" s="14">
        <v>28</v>
      </c>
      <c r="S27" s="14">
        <v>41</v>
      </c>
      <c r="T27" s="14">
        <v>0</v>
      </c>
      <c r="U27" s="14">
        <v>12</v>
      </c>
      <c r="V27" s="14">
        <v>15</v>
      </c>
      <c r="W27" s="14">
        <v>0</v>
      </c>
      <c r="X27" s="14">
        <v>0</v>
      </c>
      <c r="Y27" s="75">
        <v>15</v>
      </c>
      <c r="AI27" s="8"/>
    </row>
    <row r="28" spans="1:35" x14ac:dyDescent="0.2">
      <c r="A28" s="72" t="s">
        <v>54</v>
      </c>
      <c r="B28" s="78">
        <v>0</v>
      </c>
      <c r="C28" s="14">
        <v>0</v>
      </c>
      <c r="D28" s="14">
        <v>12</v>
      </c>
      <c r="E28" s="14">
        <v>8</v>
      </c>
      <c r="F28" s="14">
        <v>12</v>
      </c>
      <c r="G28" s="14">
        <v>2</v>
      </c>
      <c r="H28" s="14">
        <v>0</v>
      </c>
      <c r="I28" s="14">
        <v>0</v>
      </c>
      <c r="J28" s="14">
        <v>43</v>
      </c>
      <c r="K28" s="14">
        <v>1</v>
      </c>
      <c r="L28" s="14">
        <v>10</v>
      </c>
      <c r="M28" s="14">
        <v>0</v>
      </c>
      <c r="N28" s="14">
        <v>1</v>
      </c>
      <c r="O28" s="14">
        <v>0</v>
      </c>
      <c r="P28" s="14">
        <v>9</v>
      </c>
      <c r="Q28" s="14">
        <v>13</v>
      </c>
      <c r="R28" s="14">
        <v>37</v>
      </c>
      <c r="S28" s="14">
        <v>35</v>
      </c>
      <c r="T28" s="14">
        <v>1</v>
      </c>
      <c r="U28" s="14">
        <v>3</v>
      </c>
      <c r="V28" s="14">
        <v>14</v>
      </c>
      <c r="W28" s="14">
        <v>0</v>
      </c>
      <c r="X28" s="14">
        <v>0</v>
      </c>
      <c r="Y28" s="75">
        <v>15</v>
      </c>
      <c r="AI28" s="8"/>
    </row>
    <row r="29" spans="1:35" x14ac:dyDescent="0.2">
      <c r="A29" s="72" t="s">
        <v>56</v>
      </c>
      <c r="B29" s="78">
        <v>0</v>
      </c>
      <c r="C29" s="14">
        <v>0</v>
      </c>
      <c r="D29" s="14">
        <v>11</v>
      </c>
      <c r="E29" s="14">
        <v>8</v>
      </c>
      <c r="F29" s="14">
        <v>3</v>
      </c>
      <c r="G29" s="14">
        <v>3</v>
      </c>
      <c r="H29" s="14">
        <v>0</v>
      </c>
      <c r="I29" s="14">
        <v>0</v>
      </c>
      <c r="J29" s="14">
        <v>0</v>
      </c>
      <c r="K29" s="14">
        <v>1</v>
      </c>
      <c r="L29" s="14">
        <v>16</v>
      </c>
      <c r="M29" s="14">
        <v>0</v>
      </c>
      <c r="N29" s="14">
        <v>2</v>
      </c>
      <c r="O29" s="14">
        <v>0</v>
      </c>
      <c r="P29" s="14">
        <v>9</v>
      </c>
      <c r="Q29" s="14">
        <v>0</v>
      </c>
      <c r="R29" s="14">
        <v>34</v>
      </c>
      <c r="S29" s="14">
        <v>36</v>
      </c>
      <c r="T29" s="14">
        <v>0</v>
      </c>
      <c r="U29" s="14">
        <v>7</v>
      </c>
      <c r="V29" s="14">
        <v>14</v>
      </c>
      <c r="W29" s="14">
        <v>0</v>
      </c>
      <c r="X29" s="14">
        <v>0</v>
      </c>
      <c r="Y29" s="75">
        <v>23</v>
      </c>
      <c r="AI29" s="8"/>
    </row>
    <row r="30" spans="1:35" x14ac:dyDescent="0.2">
      <c r="A30" s="72" t="s">
        <v>49</v>
      </c>
      <c r="B30" s="78">
        <v>0</v>
      </c>
      <c r="C30" s="14">
        <v>0</v>
      </c>
      <c r="D30" s="14">
        <v>12</v>
      </c>
      <c r="E30" s="14">
        <v>8</v>
      </c>
      <c r="F30" s="14">
        <v>4</v>
      </c>
      <c r="G30" s="14">
        <v>3</v>
      </c>
      <c r="H30" s="14">
        <v>0</v>
      </c>
      <c r="I30" s="14">
        <v>0</v>
      </c>
      <c r="J30" s="14">
        <v>58</v>
      </c>
      <c r="K30" s="14">
        <v>1</v>
      </c>
      <c r="L30" s="14">
        <v>17</v>
      </c>
      <c r="M30" s="14">
        <v>0</v>
      </c>
      <c r="N30" s="14">
        <v>2</v>
      </c>
      <c r="O30" s="14">
        <v>0</v>
      </c>
      <c r="P30" s="14">
        <v>7</v>
      </c>
      <c r="Q30" s="14">
        <v>12</v>
      </c>
      <c r="R30" s="14">
        <v>37</v>
      </c>
      <c r="S30" s="14">
        <v>42</v>
      </c>
      <c r="T30" s="14">
        <v>0</v>
      </c>
      <c r="U30" s="14">
        <v>8</v>
      </c>
      <c r="V30" s="14">
        <v>14</v>
      </c>
      <c r="W30" s="14">
        <v>0</v>
      </c>
      <c r="X30" s="14">
        <v>0</v>
      </c>
      <c r="Y30" s="75">
        <v>35</v>
      </c>
      <c r="AI30" s="8"/>
    </row>
    <row r="31" spans="1:35" x14ac:dyDescent="0.2">
      <c r="A31" s="72" t="s">
        <v>51</v>
      </c>
      <c r="B31" s="78">
        <v>0</v>
      </c>
      <c r="C31" s="14">
        <v>0</v>
      </c>
      <c r="D31" s="14">
        <v>9</v>
      </c>
      <c r="E31" s="14">
        <v>8</v>
      </c>
      <c r="F31" s="14">
        <v>8</v>
      </c>
      <c r="G31" s="14">
        <v>4</v>
      </c>
      <c r="H31" s="14">
        <v>0</v>
      </c>
      <c r="I31" s="14">
        <v>0</v>
      </c>
      <c r="J31" s="14">
        <v>35</v>
      </c>
      <c r="K31" s="14">
        <v>1</v>
      </c>
      <c r="L31" s="14">
        <v>18</v>
      </c>
      <c r="M31" s="14">
        <v>0</v>
      </c>
      <c r="N31" s="14">
        <v>2</v>
      </c>
      <c r="O31" s="14">
        <v>0</v>
      </c>
      <c r="P31" s="14">
        <v>10</v>
      </c>
      <c r="Q31" s="14">
        <v>0</v>
      </c>
      <c r="R31" s="14">
        <v>33</v>
      </c>
      <c r="S31" s="14">
        <v>24</v>
      </c>
      <c r="T31" s="14">
        <v>1</v>
      </c>
      <c r="U31" s="14">
        <v>10</v>
      </c>
      <c r="V31" s="14">
        <v>14</v>
      </c>
      <c r="W31" s="14">
        <v>0</v>
      </c>
      <c r="X31" s="14">
        <v>0</v>
      </c>
      <c r="Y31" s="75">
        <v>24</v>
      </c>
      <c r="AI31" s="8"/>
    </row>
    <row r="32" spans="1:35" x14ac:dyDescent="0.2">
      <c r="A32" s="72" t="s">
        <v>53</v>
      </c>
      <c r="B32" s="78">
        <v>0</v>
      </c>
      <c r="C32" s="14">
        <v>0</v>
      </c>
      <c r="D32" s="14">
        <v>7</v>
      </c>
      <c r="E32" s="14">
        <v>8</v>
      </c>
      <c r="F32" s="14">
        <v>10</v>
      </c>
      <c r="G32" s="14">
        <v>4</v>
      </c>
      <c r="H32" s="14">
        <v>0</v>
      </c>
      <c r="I32" s="14">
        <v>0</v>
      </c>
      <c r="J32" s="14">
        <v>48</v>
      </c>
      <c r="K32" s="14">
        <v>1</v>
      </c>
      <c r="L32" s="14">
        <v>10</v>
      </c>
      <c r="M32" s="14">
        <v>0</v>
      </c>
      <c r="N32" s="14">
        <v>1</v>
      </c>
      <c r="O32" s="14">
        <v>0</v>
      </c>
      <c r="P32" s="14">
        <v>9</v>
      </c>
      <c r="Q32" s="14">
        <v>0</v>
      </c>
      <c r="R32" s="14">
        <v>9</v>
      </c>
      <c r="S32" s="14">
        <v>46</v>
      </c>
      <c r="T32" s="14">
        <v>0</v>
      </c>
      <c r="U32" s="14">
        <v>0</v>
      </c>
      <c r="V32" s="14">
        <v>14</v>
      </c>
      <c r="W32" s="14">
        <v>0</v>
      </c>
      <c r="X32" s="14">
        <v>0</v>
      </c>
      <c r="Y32" s="75">
        <v>26</v>
      </c>
      <c r="AI32" s="8"/>
    </row>
    <row r="33" spans="1:35" x14ac:dyDescent="0.2">
      <c r="A33" s="72" t="s">
        <v>55</v>
      </c>
      <c r="B33" s="78">
        <v>0</v>
      </c>
      <c r="C33" s="14">
        <v>0</v>
      </c>
      <c r="D33" s="14">
        <v>7</v>
      </c>
      <c r="E33" s="14">
        <v>8</v>
      </c>
      <c r="F33" s="14">
        <v>9</v>
      </c>
      <c r="G33" s="14">
        <v>4</v>
      </c>
      <c r="H33" s="14">
        <v>0</v>
      </c>
      <c r="I33" s="14">
        <v>0</v>
      </c>
      <c r="J33" s="14">
        <v>23</v>
      </c>
      <c r="K33" s="14">
        <v>1</v>
      </c>
      <c r="L33" s="14">
        <v>10</v>
      </c>
      <c r="M33" s="14">
        <v>4</v>
      </c>
      <c r="N33" s="14">
        <v>1</v>
      </c>
      <c r="O33" s="14">
        <v>0</v>
      </c>
      <c r="P33" s="14">
        <v>10</v>
      </c>
      <c r="Q33" s="14">
        <v>0</v>
      </c>
      <c r="R33" s="14">
        <v>31</v>
      </c>
      <c r="S33" s="14">
        <v>31</v>
      </c>
      <c r="T33" s="14">
        <v>1</v>
      </c>
      <c r="U33" s="14">
        <v>11</v>
      </c>
      <c r="V33" s="14">
        <v>15</v>
      </c>
      <c r="W33" s="14">
        <v>0</v>
      </c>
      <c r="X33" s="14">
        <v>0</v>
      </c>
      <c r="Y33" s="75">
        <v>17</v>
      </c>
      <c r="AI33" s="8"/>
    </row>
    <row r="34" spans="1:35" x14ac:dyDescent="0.2">
      <c r="A34" s="72" t="s">
        <v>52</v>
      </c>
      <c r="B34" s="78">
        <v>0</v>
      </c>
      <c r="C34" s="14">
        <v>0</v>
      </c>
      <c r="D34" s="14">
        <v>7</v>
      </c>
      <c r="E34" s="14">
        <v>6</v>
      </c>
      <c r="F34" s="14">
        <v>2</v>
      </c>
      <c r="G34" s="14">
        <v>4</v>
      </c>
      <c r="H34" s="14">
        <v>0</v>
      </c>
      <c r="I34" s="14">
        <v>0</v>
      </c>
      <c r="J34" s="14">
        <v>29</v>
      </c>
      <c r="K34" s="14">
        <v>1</v>
      </c>
      <c r="L34" s="14">
        <v>8</v>
      </c>
      <c r="M34" s="14">
        <v>0</v>
      </c>
      <c r="N34" s="14">
        <v>2</v>
      </c>
      <c r="O34" s="14">
        <v>0</v>
      </c>
      <c r="P34" s="14">
        <v>10</v>
      </c>
      <c r="Q34" s="14">
        <v>11</v>
      </c>
      <c r="R34" s="14">
        <v>0</v>
      </c>
      <c r="S34" s="14">
        <v>36</v>
      </c>
      <c r="T34" s="14">
        <v>0</v>
      </c>
      <c r="U34" s="14">
        <v>8</v>
      </c>
      <c r="V34" s="14">
        <v>14</v>
      </c>
      <c r="W34" s="14">
        <v>0</v>
      </c>
      <c r="X34" s="14">
        <v>0</v>
      </c>
      <c r="Y34" s="75">
        <v>45</v>
      </c>
      <c r="AI34" s="8"/>
    </row>
    <row r="35" spans="1:35" x14ac:dyDescent="0.2">
      <c r="A35" s="72" t="s">
        <v>50</v>
      </c>
      <c r="B35" s="78">
        <v>0</v>
      </c>
      <c r="C35" s="14">
        <v>0</v>
      </c>
      <c r="D35" s="14">
        <v>4</v>
      </c>
      <c r="E35" s="14">
        <v>6</v>
      </c>
      <c r="F35" s="14">
        <v>5</v>
      </c>
      <c r="G35" s="14">
        <v>3</v>
      </c>
      <c r="H35" s="14">
        <v>0</v>
      </c>
      <c r="I35" s="14">
        <v>0</v>
      </c>
      <c r="J35" s="14">
        <v>0</v>
      </c>
      <c r="K35" s="14">
        <v>1</v>
      </c>
      <c r="L35" s="14">
        <v>8</v>
      </c>
      <c r="M35" s="14">
        <v>0</v>
      </c>
      <c r="N35" s="14">
        <v>0</v>
      </c>
      <c r="O35" s="14">
        <v>0</v>
      </c>
      <c r="P35" s="14">
        <v>32</v>
      </c>
      <c r="Q35" s="14">
        <v>5</v>
      </c>
      <c r="R35" s="14">
        <v>28</v>
      </c>
      <c r="S35" s="14">
        <v>25</v>
      </c>
      <c r="T35" s="14">
        <v>0</v>
      </c>
      <c r="U35" s="14">
        <v>3</v>
      </c>
      <c r="V35" s="14">
        <v>14</v>
      </c>
      <c r="W35" s="14">
        <v>0</v>
      </c>
      <c r="X35" s="14">
        <v>0</v>
      </c>
      <c r="Y35" s="75">
        <v>38</v>
      </c>
      <c r="AI35" s="8"/>
    </row>
    <row r="36" spans="1:35" x14ac:dyDescent="0.2">
      <c r="A36" s="72" t="s">
        <v>7</v>
      </c>
      <c r="B36" s="78">
        <v>0</v>
      </c>
      <c r="C36" s="14">
        <v>1</v>
      </c>
      <c r="D36" s="14">
        <v>0</v>
      </c>
      <c r="E36" s="14">
        <v>0</v>
      </c>
      <c r="F36" s="14">
        <v>0</v>
      </c>
      <c r="G36" s="14">
        <v>0</v>
      </c>
      <c r="H36" s="14">
        <v>4</v>
      </c>
      <c r="I36" s="14">
        <v>0</v>
      </c>
      <c r="J36" s="14">
        <v>1</v>
      </c>
      <c r="K36" s="14">
        <v>1</v>
      </c>
      <c r="L36" s="14">
        <v>4</v>
      </c>
      <c r="M36" s="14">
        <v>11</v>
      </c>
      <c r="N36" s="14">
        <v>0</v>
      </c>
      <c r="O36" s="14">
        <v>0</v>
      </c>
      <c r="P36" s="14">
        <v>6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1</v>
      </c>
      <c r="Y36" s="75">
        <v>0</v>
      </c>
      <c r="AI36" s="8"/>
    </row>
    <row r="37" spans="1:35" x14ac:dyDescent="0.2">
      <c r="A37" s="72" t="s">
        <v>43</v>
      </c>
      <c r="B37" s="78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14</v>
      </c>
      <c r="I37" s="14">
        <v>10</v>
      </c>
      <c r="J37" s="14">
        <v>0</v>
      </c>
      <c r="K37" s="14">
        <v>0</v>
      </c>
      <c r="L37" s="14">
        <v>2</v>
      </c>
      <c r="M37" s="14">
        <v>6</v>
      </c>
      <c r="N37" s="14">
        <v>0</v>
      </c>
      <c r="O37" s="14">
        <v>0</v>
      </c>
      <c r="P37" s="14">
        <v>1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1</v>
      </c>
      <c r="Y37" s="75">
        <v>0</v>
      </c>
      <c r="AI37" s="8"/>
    </row>
    <row r="38" spans="1:35" x14ac:dyDescent="0.2">
      <c r="A38" s="72" t="s">
        <v>11</v>
      </c>
      <c r="B38" s="78">
        <v>0</v>
      </c>
      <c r="C38" s="14">
        <v>1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17</v>
      </c>
      <c r="J38" s="14">
        <v>39</v>
      </c>
      <c r="K38" s="14">
        <v>0</v>
      </c>
      <c r="L38" s="14">
        <v>2</v>
      </c>
      <c r="M38" s="14">
        <v>22</v>
      </c>
      <c r="N38" s="14">
        <v>0</v>
      </c>
      <c r="O38" s="14">
        <v>0</v>
      </c>
      <c r="P38" s="14">
        <v>2</v>
      </c>
      <c r="Q38" s="14">
        <v>0</v>
      </c>
      <c r="R38" s="14">
        <v>0</v>
      </c>
      <c r="S38" s="14">
        <v>0</v>
      </c>
      <c r="T38" s="14">
        <v>0</v>
      </c>
      <c r="U38" s="14">
        <v>2</v>
      </c>
      <c r="V38" s="14">
        <v>0</v>
      </c>
      <c r="W38" s="14">
        <v>0</v>
      </c>
      <c r="X38" s="14">
        <v>1</v>
      </c>
      <c r="Y38" s="75">
        <v>0</v>
      </c>
      <c r="AI38" s="8"/>
    </row>
    <row r="39" spans="1:35" x14ac:dyDescent="0.2">
      <c r="A39" s="72" t="s">
        <v>13</v>
      </c>
      <c r="B39" s="78">
        <v>0</v>
      </c>
      <c r="C39" s="14">
        <v>34</v>
      </c>
      <c r="D39" s="14">
        <v>9</v>
      </c>
      <c r="E39" s="14">
        <v>0</v>
      </c>
      <c r="F39" s="14">
        <v>0</v>
      </c>
      <c r="G39" s="14">
        <v>0</v>
      </c>
      <c r="H39" s="14">
        <v>9</v>
      </c>
      <c r="I39" s="14">
        <v>14</v>
      </c>
      <c r="J39" s="14">
        <v>73</v>
      </c>
      <c r="K39" s="14">
        <v>1</v>
      </c>
      <c r="L39" s="14">
        <v>2</v>
      </c>
      <c r="M39" s="14">
        <v>55</v>
      </c>
      <c r="N39" s="14">
        <v>0</v>
      </c>
      <c r="O39" s="14">
        <v>0</v>
      </c>
      <c r="P39" s="14">
        <v>30</v>
      </c>
      <c r="Q39" s="14">
        <v>6</v>
      </c>
      <c r="R39" s="14">
        <v>12</v>
      </c>
      <c r="S39" s="14">
        <v>40</v>
      </c>
      <c r="T39" s="14">
        <v>0</v>
      </c>
      <c r="U39" s="14">
        <v>0</v>
      </c>
      <c r="V39" s="14">
        <v>15</v>
      </c>
      <c r="W39" s="14">
        <v>0</v>
      </c>
      <c r="X39" s="14">
        <v>1</v>
      </c>
      <c r="Y39" s="75">
        <v>75</v>
      </c>
      <c r="AI39" s="8"/>
    </row>
    <row r="40" spans="1:35" x14ac:dyDescent="0.2">
      <c r="A40" s="72" t="s">
        <v>61</v>
      </c>
      <c r="B40" s="78">
        <v>0</v>
      </c>
      <c r="C40" s="14">
        <v>1</v>
      </c>
      <c r="D40" s="14">
        <v>2</v>
      </c>
      <c r="E40" s="14">
        <v>0</v>
      </c>
      <c r="F40" s="14">
        <v>0</v>
      </c>
      <c r="G40" s="14">
        <v>0</v>
      </c>
      <c r="H40" s="14">
        <v>9</v>
      </c>
      <c r="I40" s="14">
        <v>4</v>
      </c>
      <c r="J40" s="14">
        <v>0</v>
      </c>
      <c r="K40" s="14">
        <v>9</v>
      </c>
      <c r="L40" s="14">
        <v>0</v>
      </c>
      <c r="M40" s="14">
        <v>10</v>
      </c>
      <c r="N40" s="14">
        <v>6</v>
      </c>
      <c r="O40" s="14">
        <v>0</v>
      </c>
      <c r="P40" s="14">
        <v>4</v>
      </c>
      <c r="Q40" s="14">
        <v>0</v>
      </c>
      <c r="R40" s="14">
        <v>3</v>
      </c>
      <c r="S40" s="14">
        <v>4</v>
      </c>
      <c r="T40" s="14">
        <v>7</v>
      </c>
      <c r="U40" s="14">
        <v>15</v>
      </c>
      <c r="V40" s="14">
        <v>0</v>
      </c>
      <c r="W40" s="14">
        <v>0</v>
      </c>
      <c r="X40" s="14">
        <v>0</v>
      </c>
      <c r="Y40" s="75">
        <v>0</v>
      </c>
      <c r="AI40" s="8"/>
    </row>
    <row r="41" spans="1:35" x14ac:dyDescent="0.2">
      <c r="A41" s="72" t="s">
        <v>62</v>
      </c>
      <c r="B41" s="78">
        <v>0</v>
      </c>
      <c r="C41" s="14">
        <v>0</v>
      </c>
      <c r="D41" s="14">
        <v>11</v>
      </c>
      <c r="E41" s="14">
        <v>0</v>
      </c>
      <c r="F41" s="14">
        <v>0</v>
      </c>
      <c r="G41" s="14">
        <v>0</v>
      </c>
      <c r="H41" s="14">
        <v>0</v>
      </c>
      <c r="I41" s="14">
        <v>8</v>
      </c>
      <c r="J41" s="14">
        <v>0</v>
      </c>
      <c r="K41" s="14">
        <v>2</v>
      </c>
      <c r="L41" s="14">
        <v>1</v>
      </c>
      <c r="M41" s="14">
        <v>1</v>
      </c>
      <c r="N41" s="14">
        <v>5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  <c r="T41" s="14">
        <v>0</v>
      </c>
      <c r="U41" s="14">
        <v>3</v>
      </c>
      <c r="V41" s="14">
        <v>0</v>
      </c>
      <c r="W41" s="14">
        <v>0</v>
      </c>
      <c r="X41" s="14">
        <v>6</v>
      </c>
      <c r="Y41" s="75">
        <v>0</v>
      </c>
      <c r="AI41" s="8"/>
    </row>
    <row r="42" spans="1:35" x14ac:dyDescent="0.2">
      <c r="A42" s="72" t="s">
        <v>63</v>
      </c>
      <c r="B42" s="78">
        <v>0</v>
      </c>
      <c r="C42" s="14">
        <v>1</v>
      </c>
      <c r="D42" s="14">
        <v>10</v>
      </c>
      <c r="E42" s="14">
        <v>0</v>
      </c>
      <c r="F42" s="14">
        <v>0</v>
      </c>
      <c r="G42" s="14">
        <v>0</v>
      </c>
      <c r="H42" s="14">
        <v>2</v>
      </c>
      <c r="I42" s="14">
        <v>13</v>
      </c>
      <c r="J42" s="14">
        <v>1</v>
      </c>
      <c r="K42" s="14">
        <v>1</v>
      </c>
      <c r="L42" s="14">
        <v>1</v>
      </c>
      <c r="M42" s="14">
        <v>2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2</v>
      </c>
      <c r="V42" s="14">
        <v>0</v>
      </c>
      <c r="W42" s="14">
        <v>0</v>
      </c>
      <c r="X42" s="14">
        <v>14</v>
      </c>
      <c r="Y42" s="75">
        <v>2</v>
      </c>
      <c r="AI42" s="8"/>
    </row>
    <row r="43" spans="1:35" x14ac:dyDescent="0.2">
      <c r="A43" s="72" t="s">
        <v>64</v>
      </c>
      <c r="B43" s="78">
        <v>0</v>
      </c>
      <c r="C43" s="14">
        <v>1</v>
      </c>
      <c r="D43" s="14">
        <v>21</v>
      </c>
      <c r="E43" s="14">
        <v>0</v>
      </c>
      <c r="F43" s="14">
        <v>0</v>
      </c>
      <c r="G43" s="14">
        <v>0</v>
      </c>
      <c r="H43" s="14">
        <v>7</v>
      </c>
      <c r="I43" s="14">
        <v>29</v>
      </c>
      <c r="J43" s="14">
        <v>0</v>
      </c>
      <c r="K43" s="14">
        <v>9</v>
      </c>
      <c r="L43" s="14">
        <v>0</v>
      </c>
      <c r="M43" s="14">
        <v>1</v>
      </c>
      <c r="N43" s="14">
        <v>0</v>
      </c>
      <c r="O43" s="14">
        <v>0</v>
      </c>
      <c r="P43" s="14">
        <v>0</v>
      </c>
      <c r="Q43" s="14">
        <v>7</v>
      </c>
      <c r="R43" s="14">
        <v>4</v>
      </c>
      <c r="S43" s="14">
        <v>4</v>
      </c>
      <c r="T43" s="14">
        <v>5</v>
      </c>
      <c r="U43" s="14">
        <v>11</v>
      </c>
      <c r="V43" s="14">
        <v>0</v>
      </c>
      <c r="W43" s="14">
        <v>0</v>
      </c>
      <c r="X43" s="14">
        <v>2</v>
      </c>
      <c r="Y43" s="75">
        <v>0</v>
      </c>
      <c r="AI43" s="8"/>
    </row>
    <row r="44" spans="1:35" x14ac:dyDescent="0.2">
      <c r="A44" s="72" t="s">
        <v>65</v>
      </c>
      <c r="B44" s="78">
        <v>0</v>
      </c>
      <c r="C44" s="14">
        <v>1</v>
      </c>
      <c r="D44" s="14">
        <v>21</v>
      </c>
      <c r="E44" s="14">
        <v>0</v>
      </c>
      <c r="F44" s="14">
        <v>0</v>
      </c>
      <c r="G44" s="14">
        <v>0</v>
      </c>
      <c r="H44" s="14">
        <v>15</v>
      </c>
      <c r="I44" s="14">
        <v>23</v>
      </c>
      <c r="J44" s="14">
        <v>0</v>
      </c>
      <c r="K44" s="14">
        <v>3</v>
      </c>
      <c r="L44" s="14">
        <v>2</v>
      </c>
      <c r="M44" s="14">
        <v>0</v>
      </c>
      <c r="N44" s="14">
        <v>4</v>
      </c>
      <c r="O44" s="14">
        <v>0</v>
      </c>
      <c r="P44" s="14">
        <v>0</v>
      </c>
      <c r="Q44" s="14">
        <v>2</v>
      </c>
      <c r="R44" s="14">
        <v>4</v>
      </c>
      <c r="S44" s="14">
        <v>5</v>
      </c>
      <c r="T44" s="14">
        <v>14</v>
      </c>
      <c r="U44" s="14">
        <v>11</v>
      </c>
      <c r="V44" s="14">
        <v>0</v>
      </c>
      <c r="W44" s="14">
        <v>0</v>
      </c>
      <c r="X44" s="14">
        <v>0</v>
      </c>
      <c r="Y44" s="75">
        <v>0</v>
      </c>
      <c r="AI44" s="8"/>
    </row>
    <row r="45" spans="1:35" x14ac:dyDescent="0.2">
      <c r="A45" s="72" t="s">
        <v>66</v>
      </c>
      <c r="B45" s="78">
        <v>0</v>
      </c>
      <c r="C45" s="14">
        <v>1</v>
      </c>
      <c r="D45" s="14">
        <v>22</v>
      </c>
      <c r="E45" s="14">
        <v>0</v>
      </c>
      <c r="F45" s="14">
        <v>0</v>
      </c>
      <c r="G45" s="14">
        <v>0</v>
      </c>
      <c r="H45" s="14">
        <v>22</v>
      </c>
      <c r="I45" s="14">
        <v>23</v>
      </c>
      <c r="J45" s="14">
        <v>0</v>
      </c>
      <c r="K45" s="14">
        <v>26</v>
      </c>
      <c r="L45" s="14">
        <v>0</v>
      </c>
      <c r="M45" s="14">
        <v>0</v>
      </c>
      <c r="N45" s="14">
        <v>3</v>
      </c>
      <c r="O45" s="14">
        <v>0</v>
      </c>
      <c r="P45" s="14">
        <v>3</v>
      </c>
      <c r="Q45" s="14">
        <v>0</v>
      </c>
      <c r="R45" s="14">
        <v>23</v>
      </c>
      <c r="S45" s="14">
        <v>4</v>
      </c>
      <c r="T45" s="14">
        <v>13</v>
      </c>
      <c r="U45" s="14">
        <v>12</v>
      </c>
      <c r="V45" s="14">
        <v>0</v>
      </c>
      <c r="W45" s="14">
        <v>0</v>
      </c>
      <c r="X45" s="14">
        <v>0</v>
      </c>
      <c r="Y45" s="75">
        <v>3</v>
      </c>
      <c r="AI45" s="8"/>
    </row>
    <row r="46" spans="1:35" x14ac:dyDescent="0.2">
      <c r="A46" s="72" t="s">
        <v>67</v>
      </c>
      <c r="B46" s="78">
        <v>0</v>
      </c>
      <c r="C46" s="14">
        <v>1</v>
      </c>
      <c r="D46" s="14">
        <v>18</v>
      </c>
      <c r="E46" s="14">
        <v>35</v>
      </c>
      <c r="F46" s="14">
        <v>0</v>
      </c>
      <c r="G46" s="14">
        <v>0</v>
      </c>
      <c r="H46" s="14">
        <v>15</v>
      </c>
      <c r="I46" s="14">
        <v>26</v>
      </c>
      <c r="J46" s="14">
        <v>0</v>
      </c>
      <c r="K46" s="14">
        <v>18</v>
      </c>
      <c r="L46" s="14">
        <v>0</v>
      </c>
      <c r="M46" s="14">
        <v>0</v>
      </c>
      <c r="N46" s="14">
        <v>2</v>
      </c>
      <c r="O46" s="14">
        <v>0</v>
      </c>
      <c r="P46" s="14">
        <v>6</v>
      </c>
      <c r="Q46" s="14">
        <v>0</v>
      </c>
      <c r="R46" s="14">
        <v>4</v>
      </c>
      <c r="S46" s="14">
        <v>5</v>
      </c>
      <c r="T46" s="14">
        <v>7</v>
      </c>
      <c r="U46" s="14">
        <v>11</v>
      </c>
      <c r="V46" s="14">
        <v>0</v>
      </c>
      <c r="W46" s="14">
        <v>0</v>
      </c>
      <c r="X46" s="14">
        <v>0</v>
      </c>
      <c r="Y46" s="75">
        <v>0</v>
      </c>
      <c r="AI46" s="8"/>
    </row>
    <row r="47" spans="1:35" x14ac:dyDescent="0.2">
      <c r="A47" s="72" t="s">
        <v>33</v>
      </c>
      <c r="B47" s="78">
        <v>0</v>
      </c>
      <c r="C47" s="14">
        <v>20</v>
      </c>
      <c r="D47" s="14">
        <v>118</v>
      </c>
      <c r="E47" s="14">
        <v>121</v>
      </c>
      <c r="F47" s="14">
        <v>51</v>
      </c>
      <c r="G47" s="14">
        <v>53</v>
      </c>
      <c r="H47" s="14">
        <v>37</v>
      </c>
      <c r="I47" s="14">
        <v>203</v>
      </c>
      <c r="J47" s="14">
        <v>172</v>
      </c>
      <c r="K47" s="14">
        <v>94</v>
      </c>
      <c r="L47" s="14">
        <v>64</v>
      </c>
      <c r="M47" s="14">
        <v>174</v>
      </c>
      <c r="N47" s="14">
        <v>90</v>
      </c>
      <c r="O47" s="14">
        <v>0</v>
      </c>
      <c r="P47" s="14">
        <v>82</v>
      </c>
      <c r="Q47" s="14">
        <v>41</v>
      </c>
      <c r="R47" s="14">
        <v>113</v>
      </c>
      <c r="S47" s="14">
        <v>97</v>
      </c>
      <c r="T47" s="14">
        <v>87</v>
      </c>
      <c r="U47" s="14">
        <v>23</v>
      </c>
      <c r="V47" s="14">
        <v>47</v>
      </c>
      <c r="W47" s="14">
        <v>0</v>
      </c>
      <c r="X47" s="14">
        <v>5</v>
      </c>
      <c r="Y47" s="75">
        <v>132</v>
      </c>
      <c r="AA47" s="197"/>
      <c r="AB47" s="197"/>
      <c r="AC47" s="197"/>
      <c r="AD47" s="197"/>
      <c r="AE47" s="197"/>
      <c r="AI47" s="8"/>
    </row>
    <row r="48" spans="1:35" x14ac:dyDescent="0.2">
      <c r="A48" s="72" t="s">
        <v>31</v>
      </c>
      <c r="B48" s="78">
        <v>0</v>
      </c>
      <c r="C48" s="14">
        <v>11</v>
      </c>
      <c r="D48" s="14">
        <v>141</v>
      </c>
      <c r="E48" s="14">
        <v>190</v>
      </c>
      <c r="F48" s="14">
        <v>106</v>
      </c>
      <c r="G48" s="14">
        <v>116</v>
      </c>
      <c r="H48" s="14">
        <v>172</v>
      </c>
      <c r="I48" s="14">
        <v>163</v>
      </c>
      <c r="J48" s="14">
        <v>287</v>
      </c>
      <c r="K48" s="14">
        <v>70</v>
      </c>
      <c r="L48" s="14">
        <v>110</v>
      </c>
      <c r="M48" s="14">
        <v>778</v>
      </c>
      <c r="N48" s="14">
        <v>68</v>
      </c>
      <c r="O48" s="14">
        <v>0</v>
      </c>
      <c r="P48" s="14">
        <v>114</v>
      </c>
      <c r="Q48" s="14">
        <v>140</v>
      </c>
      <c r="R48" s="14">
        <v>410</v>
      </c>
      <c r="S48" s="81">
        <v>1179</v>
      </c>
      <c r="T48" s="14">
        <v>173</v>
      </c>
      <c r="U48" s="14">
        <v>14</v>
      </c>
      <c r="V48" s="14">
        <v>98</v>
      </c>
      <c r="W48" s="14">
        <v>0</v>
      </c>
      <c r="X48" s="14">
        <v>5</v>
      </c>
      <c r="Y48" s="75">
        <v>1055</v>
      </c>
      <c r="Z48" s="12"/>
      <c r="AA48" s="197"/>
      <c r="AB48" s="197"/>
      <c r="AC48" s="197"/>
      <c r="AD48" s="197"/>
      <c r="AE48" s="197"/>
      <c r="AI48" s="8"/>
    </row>
    <row r="49" spans="1:35" ht="12" thickBot="1" x14ac:dyDescent="0.25">
      <c r="A49" s="73" t="s">
        <v>32</v>
      </c>
      <c r="B49" s="79">
        <v>0</v>
      </c>
      <c r="C49" s="67">
        <v>9</v>
      </c>
      <c r="D49" s="67">
        <v>123</v>
      </c>
      <c r="E49" s="67">
        <v>138</v>
      </c>
      <c r="F49" s="67">
        <v>216</v>
      </c>
      <c r="G49" s="67">
        <v>43</v>
      </c>
      <c r="H49" s="67">
        <v>92</v>
      </c>
      <c r="I49" s="67">
        <v>139</v>
      </c>
      <c r="J49" s="67">
        <v>301</v>
      </c>
      <c r="K49" s="67">
        <v>106</v>
      </c>
      <c r="L49" s="67">
        <v>116</v>
      </c>
      <c r="M49" s="67">
        <v>1005</v>
      </c>
      <c r="N49" s="67">
        <v>75</v>
      </c>
      <c r="O49" s="67">
        <v>0</v>
      </c>
      <c r="P49" s="67">
        <v>187</v>
      </c>
      <c r="Q49" s="67">
        <v>140</v>
      </c>
      <c r="R49" s="67">
        <v>185</v>
      </c>
      <c r="S49" s="67">
        <v>201</v>
      </c>
      <c r="T49" s="67">
        <v>199</v>
      </c>
      <c r="U49" s="67">
        <v>24</v>
      </c>
      <c r="V49" s="67">
        <v>54</v>
      </c>
      <c r="W49" s="67">
        <v>0</v>
      </c>
      <c r="X49" s="67">
        <v>13</v>
      </c>
      <c r="Y49" s="76">
        <v>439</v>
      </c>
      <c r="Z49" s="12"/>
      <c r="AA49" s="197"/>
      <c r="AB49" s="197"/>
      <c r="AC49" s="197"/>
      <c r="AD49" s="197"/>
      <c r="AE49" s="197"/>
      <c r="AI49" s="8"/>
    </row>
    <row r="50" spans="1:35" x14ac:dyDescent="0.2">
      <c r="AA50" s="84"/>
      <c r="AB50" s="12"/>
      <c r="AC50" s="84"/>
      <c r="AD50" s="83"/>
      <c r="AI50" s="8"/>
    </row>
    <row r="51" spans="1:35" x14ac:dyDescent="0.2">
      <c r="AI51" s="8"/>
    </row>
    <row r="52" spans="1:35" x14ac:dyDescent="0.2">
      <c r="AI52" s="8"/>
    </row>
    <row r="53" spans="1:35" x14ac:dyDescent="0.2">
      <c r="AI53" s="8"/>
    </row>
    <row r="54" spans="1:35" x14ac:dyDescent="0.2">
      <c r="AI54" s="8"/>
    </row>
    <row r="55" spans="1:35" x14ac:dyDescent="0.2">
      <c r="AI55" s="8"/>
    </row>
    <row r="56" spans="1:35" x14ac:dyDescent="0.2">
      <c r="AI56" s="8"/>
    </row>
    <row r="57" spans="1:35" x14ac:dyDescent="0.2">
      <c r="AI57" s="8"/>
    </row>
    <row r="58" spans="1:35" x14ac:dyDescent="0.2">
      <c r="AI58" s="8"/>
    </row>
    <row r="59" spans="1:35" x14ac:dyDescent="0.2">
      <c r="AI59" s="8"/>
    </row>
    <row r="60" spans="1:35" ht="11.25" customHeight="1" x14ac:dyDescent="0.2">
      <c r="AI60" s="8"/>
    </row>
    <row r="61" spans="1:35" x14ac:dyDescent="0.2">
      <c r="AI61" s="8"/>
    </row>
    <row r="62" spans="1:35" x14ac:dyDescent="0.2">
      <c r="AI62" s="8"/>
    </row>
    <row r="63" spans="1:35" x14ac:dyDescent="0.2">
      <c r="AI63" s="8"/>
    </row>
    <row r="64" spans="1:35" x14ac:dyDescent="0.2">
      <c r="AI64" s="8"/>
    </row>
  </sheetData>
  <conditionalFormatting sqref="B3:Y3 A6:Y49">
    <cfRule type="expression" dxfId="1" priority="1">
      <formula>AND(ROW()=CELL("ROW"),COLUMN()=CELL("COL"))</formula>
    </cfRule>
    <cfRule type="expression" dxfId="0" priority="2">
      <formula>OR(ROW()=CELL("ROW"),COLUMN()=CELL("COL"))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D5CB-01A0-4472-8185-36E1FEB43658}">
  <sheetPr codeName="Sheet3">
    <pageSetUpPr fitToPage="1"/>
  </sheetPr>
  <dimension ref="A1:CY69"/>
  <sheetViews>
    <sheetView zoomScale="125" zoomScaleNormal="125" workbookViewId="0">
      <selection activeCell="AJ3" sqref="AJ3:AJ45"/>
    </sheetView>
  </sheetViews>
  <sheetFormatPr defaultColWidth="9.140625" defaultRowHeight="9" customHeight="1" x14ac:dyDescent="0.2"/>
  <cols>
    <col min="1" max="1" width="2.140625" style="7" customWidth="1"/>
    <col min="2" max="2" width="15.7109375" style="7" bestFit="1" customWidth="1"/>
    <col min="3" max="3" width="7" style="7" customWidth="1"/>
    <col min="4" max="19" width="5.5703125" style="7" customWidth="1"/>
    <col min="20" max="20" width="6.140625" style="7" customWidth="1"/>
    <col min="21" max="31" width="5.5703125" style="7" customWidth="1"/>
    <col min="32" max="32" width="5.7109375" style="7" customWidth="1"/>
    <col min="33" max="33" width="6.140625" style="7" customWidth="1"/>
    <col min="34" max="34" width="5.85546875" style="7" customWidth="1"/>
    <col min="35" max="35" width="4.5703125" style="7" bestFit="1" customWidth="1"/>
    <col min="36" max="36" width="6" style="7" customWidth="1"/>
    <col min="37" max="37" width="6.140625" style="7" bestFit="1" customWidth="1"/>
    <col min="38" max="38" width="1.28515625" style="7" customWidth="1"/>
    <col min="39" max="39" width="5.28515625" style="7" customWidth="1"/>
    <col min="40" max="40" width="9" style="7" customWidth="1"/>
    <col min="41" max="41" width="13" style="7" customWidth="1"/>
    <col min="42" max="42" width="4.85546875" style="7" customWidth="1"/>
    <col min="43" max="43" width="5.5703125" style="7" customWidth="1"/>
    <col min="44" max="65" width="4.85546875" style="7" customWidth="1"/>
    <col min="66" max="66" width="5.28515625" style="7" customWidth="1"/>
    <col min="67" max="67" width="4.5703125" style="7" bestFit="1" customWidth="1"/>
    <col min="68" max="68" width="5.28515625" style="7" customWidth="1"/>
    <col min="69" max="69" width="3.85546875" style="7" bestFit="1" customWidth="1"/>
    <col min="70" max="70" width="1.28515625" style="7" customWidth="1"/>
    <col min="71" max="71" width="5.28515625" style="7" bestFit="1" customWidth="1"/>
    <col min="72" max="99" width="4.85546875" style="7" customWidth="1"/>
    <col min="100" max="100" width="5.28515625" style="7" customWidth="1"/>
    <col min="101" max="101" width="4.5703125" style="7" bestFit="1" customWidth="1"/>
    <col min="102" max="102" width="5.28515625" style="7" customWidth="1"/>
    <col min="103" max="103" width="3.85546875" style="7" bestFit="1" customWidth="1"/>
    <col min="104" max="321" width="3.5703125" style="7" customWidth="1"/>
    <col min="322" max="16384" width="9.140625" style="7"/>
  </cols>
  <sheetData>
    <row r="1" spans="1:103" ht="6.75" customHeight="1" thickBot="1" x14ac:dyDescent="0.25">
      <c r="A1" s="22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23"/>
    </row>
    <row r="2" spans="1:103" ht="9" customHeight="1" x14ac:dyDescent="0.2">
      <c r="A2" s="24"/>
      <c r="B2" s="21">
        <v>45658</v>
      </c>
      <c r="C2" s="31" t="s">
        <v>37</v>
      </c>
      <c r="D2" s="135"/>
      <c r="E2" s="135"/>
      <c r="F2" s="135"/>
      <c r="G2" s="135"/>
      <c r="H2" s="135"/>
      <c r="I2" s="135"/>
      <c r="J2" s="135"/>
      <c r="K2" s="136"/>
      <c r="L2" s="135"/>
      <c r="M2" s="135"/>
      <c r="N2" s="135"/>
      <c r="O2" s="135"/>
      <c r="P2" s="135"/>
      <c r="Q2" s="135"/>
      <c r="R2" s="136"/>
      <c r="S2" s="135"/>
      <c r="T2" s="135"/>
      <c r="U2" s="135"/>
      <c r="V2" s="135"/>
      <c r="W2" s="135"/>
      <c r="X2" s="135"/>
      <c r="Y2" s="136"/>
      <c r="Z2" s="135"/>
      <c r="AA2" s="135"/>
      <c r="AB2" s="135"/>
      <c r="AC2" s="135"/>
      <c r="AD2" s="135"/>
      <c r="AE2" s="135"/>
      <c r="AF2" s="136"/>
      <c r="AG2" s="137"/>
      <c r="AH2" s="135"/>
      <c r="AI2" s="52"/>
      <c r="AJ2" s="32"/>
      <c r="AK2" s="33"/>
      <c r="AL2" s="25"/>
      <c r="AM2" s="134" t="s">
        <v>94</v>
      </c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8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</row>
    <row r="3" spans="1:103" ht="9.75" customHeight="1" thickBot="1" x14ac:dyDescent="0.25">
      <c r="A3" s="26"/>
      <c r="B3" s="50" t="s">
        <v>60</v>
      </c>
      <c r="C3" s="34">
        <f>INDEX(SchedFreq,MATCH(C$2,IInst,0))</f>
        <v>1</v>
      </c>
      <c r="D3" s="138"/>
      <c r="E3" s="139">
        <f>$B$2</f>
        <v>45658</v>
      </c>
      <c r="F3" s="139">
        <f>E3+1</f>
        <v>45659</v>
      </c>
      <c r="G3" s="139">
        <f t="shared" ref="G3:AF3" si="0">F3+1</f>
        <v>45660</v>
      </c>
      <c r="H3" s="139">
        <f t="shared" si="0"/>
        <v>45661</v>
      </c>
      <c r="I3" s="139">
        <f t="shared" si="0"/>
        <v>45662</v>
      </c>
      <c r="J3" s="139">
        <f t="shared" si="0"/>
        <v>45663</v>
      </c>
      <c r="K3" s="140">
        <f t="shared" si="0"/>
        <v>45664</v>
      </c>
      <c r="L3" s="139">
        <f t="shared" si="0"/>
        <v>45665</v>
      </c>
      <c r="M3" s="139">
        <f t="shared" si="0"/>
        <v>45666</v>
      </c>
      <c r="N3" s="139">
        <f t="shared" si="0"/>
        <v>45667</v>
      </c>
      <c r="O3" s="139">
        <f t="shared" si="0"/>
        <v>45668</v>
      </c>
      <c r="P3" s="139">
        <f t="shared" si="0"/>
        <v>45669</v>
      </c>
      <c r="Q3" s="139">
        <f t="shared" si="0"/>
        <v>45670</v>
      </c>
      <c r="R3" s="140">
        <f t="shared" si="0"/>
        <v>45671</v>
      </c>
      <c r="S3" s="139">
        <f t="shared" si="0"/>
        <v>45672</v>
      </c>
      <c r="T3" s="139">
        <f t="shared" si="0"/>
        <v>45673</v>
      </c>
      <c r="U3" s="139">
        <f t="shared" si="0"/>
        <v>45674</v>
      </c>
      <c r="V3" s="139">
        <f t="shared" si="0"/>
        <v>45675</v>
      </c>
      <c r="W3" s="139">
        <f t="shared" si="0"/>
        <v>45676</v>
      </c>
      <c r="X3" s="139">
        <f t="shared" si="0"/>
        <v>45677</v>
      </c>
      <c r="Y3" s="140">
        <f t="shared" si="0"/>
        <v>45678</v>
      </c>
      <c r="Z3" s="139">
        <f t="shared" si="0"/>
        <v>45679</v>
      </c>
      <c r="AA3" s="139">
        <f t="shared" si="0"/>
        <v>45680</v>
      </c>
      <c r="AB3" s="139">
        <f t="shared" si="0"/>
        <v>45681</v>
      </c>
      <c r="AC3" s="139">
        <f t="shared" si="0"/>
        <v>45682</v>
      </c>
      <c r="AD3" s="139">
        <f t="shared" si="0"/>
        <v>45683</v>
      </c>
      <c r="AE3" s="139">
        <f t="shared" si="0"/>
        <v>45684</v>
      </c>
      <c r="AF3" s="140">
        <f t="shared" si="0"/>
        <v>45685</v>
      </c>
      <c r="AG3" s="141" t="s">
        <v>68</v>
      </c>
      <c r="AH3" s="139" t="s">
        <v>69</v>
      </c>
      <c r="AI3" s="53"/>
      <c r="AJ3" s="161"/>
      <c r="AK3" s="35"/>
      <c r="AL3" s="27"/>
      <c r="AM3" s="8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</row>
    <row r="4" spans="1:103" ht="9.75" customHeight="1" thickBot="1" x14ac:dyDescent="0.25">
      <c r="A4" s="93"/>
      <c r="B4" s="51">
        <f>INDEX(IDate,MATCH(Usage!$C$2,IInst,0))</f>
        <v>45672</v>
      </c>
      <c r="C4" s="37" t="s">
        <v>35</v>
      </c>
      <c r="D4" s="142">
        <f>IF(E3-B4&gt;0,E3-B4,0)</f>
        <v>0</v>
      </c>
      <c r="E4" s="143" t="str">
        <f>IF(E3&lt;$B4,"X",IF(E3=$B4,"U",IF(E3&gt;$B4,"N","")))</f>
        <v>X</v>
      </c>
      <c r="F4" s="143" t="str">
        <f t="shared" ref="F4:AF4" si="1">IF(F3&lt;$B4,"X",IF(F3=$B4,"U",IF(F3&gt;$B4,"N","")))</f>
        <v>X</v>
      </c>
      <c r="G4" s="143" t="str">
        <f t="shared" si="1"/>
        <v>X</v>
      </c>
      <c r="H4" s="143" t="str">
        <f t="shared" si="1"/>
        <v>X</v>
      </c>
      <c r="I4" s="143" t="str">
        <f t="shared" si="1"/>
        <v>X</v>
      </c>
      <c r="J4" s="143" t="str">
        <f t="shared" si="1"/>
        <v>X</v>
      </c>
      <c r="K4" s="144" t="str">
        <f t="shared" si="1"/>
        <v>X</v>
      </c>
      <c r="L4" s="143" t="str">
        <f t="shared" si="1"/>
        <v>X</v>
      </c>
      <c r="M4" s="143" t="str">
        <f t="shared" si="1"/>
        <v>X</v>
      </c>
      <c r="N4" s="143" t="str">
        <f t="shared" si="1"/>
        <v>X</v>
      </c>
      <c r="O4" s="143" t="str">
        <f t="shared" si="1"/>
        <v>X</v>
      </c>
      <c r="P4" s="143" t="str">
        <f t="shared" si="1"/>
        <v>X</v>
      </c>
      <c r="Q4" s="143" t="str">
        <f t="shared" si="1"/>
        <v>X</v>
      </c>
      <c r="R4" s="144" t="str">
        <f t="shared" si="1"/>
        <v>X</v>
      </c>
      <c r="S4" s="143" t="str">
        <f t="shared" si="1"/>
        <v>U</v>
      </c>
      <c r="T4" s="143" t="str">
        <f t="shared" si="1"/>
        <v>N</v>
      </c>
      <c r="U4" s="143" t="str">
        <f t="shared" si="1"/>
        <v>N</v>
      </c>
      <c r="V4" s="143" t="str">
        <f t="shared" si="1"/>
        <v>N</v>
      </c>
      <c r="W4" s="143" t="str">
        <f t="shared" si="1"/>
        <v>N</v>
      </c>
      <c r="X4" s="143" t="str">
        <f t="shared" si="1"/>
        <v>N</v>
      </c>
      <c r="Y4" s="144" t="str">
        <f t="shared" si="1"/>
        <v>N</v>
      </c>
      <c r="Z4" s="143" t="str">
        <f t="shared" si="1"/>
        <v>N</v>
      </c>
      <c r="AA4" s="143" t="str">
        <f t="shared" si="1"/>
        <v>N</v>
      </c>
      <c r="AB4" s="143" t="str">
        <f t="shared" si="1"/>
        <v>N</v>
      </c>
      <c r="AC4" s="143" t="str">
        <f t="shared" si="1"/>
        <v>N</v>
      </c>
      <c r="AD4" s="143" t="str">
        <f t="shared" si="1"/>
        <v>N</v>
      </c>
      <c r="AE4" s="143" t="str">
        <f t="shared" si="1"/>
        <v>N</v>
      </c>
      <c r="AF4" s="144" t="str">
        <f t="shared" si="1"/>
        <v>N</v>
      </c>
      <c r="AG4" s="145"/>
      <c r="AH4" s="146"/>
      <c r="AI4" s="36" t="s">
        <v>46</v>
      </c>
      <c r="AJ4" s="162"/>
      <c r="AK4" s="36" t="s">
        <v>45</v>
      </c>
      <c r="AL4" s="2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</row>
    <row r="5" spans="1:103" ht="12" x14ac:dyDescent="0.2">
      <c r="A5" s="189" t="s">
        <v>77</v>
      </c>
      <c r="B5" s="18" t="s">
        <v>47</v>
      </c>
      <c r="C5" s="48">
        <f>IFERROR(IF(ROUNDDOWN((INDEX(IUpdate,MATCH($B5,IMenu,0),MATCH(C$2,IInst,0))*INDEX(tblSRD[Units/cs],MATCH($B5,tblSRD[Menu Item],0))),0)&gt;0,ROUNDDOWN((INDEX(IUpdate,MATCH($B5,IMenu,0),MATCH(C$2,IInst,0))*INDEX(tblSRD[Units/cs],MATCH($B5,tblSRD[Menu Item],0))),0),0),0)</f>
        <v>588</v>
      </c>
      <c r="D5" s="147">
        <f>IFERROR(((INDEX(IPop,MATCH($C$2,IInst,0))+1+SUM($E$2:E$2))*INDEX(tblSRD[[Units/mo]:[Units/mo]],MATCH($B5,tblSRD[[Menu Item]:[Menu Item]],0))/-28)*$D$4,0)</f>
        <v>0</v>
      </c>
      <c r="E5" s="148">
        <f>IFERROR(IF(E$4="U",$C5,IF(E$4="X",0,IF(E$4="N",((INDEX(IPop,MATCH($C$2,IInst,0))+1+SUM($E$2:E$2))*INDEX(tblSRD[[Units/mo]:[Units/mo]],MATCH($B5,tblSRD[[Menu Item]:[Menu Item]],0)))/-28,""))),0)</f>
        <v>0</v>
      </c>
      <c r="F5" s="148">
        <f>IFERROR(IF(F$4="U",$C5,IF(F$4="X",0,IF(F$4="N",((INDEX(IPop,MATCH($C$2,IInst,0))+1+SUM($E$2:F$2))*INDEX(tblSRD[[Units/mo]:[Units/mo]],MATCH($B5,tblSRD[[Menu Item]:[Menu Item]],0)))/-28,""))),0)</f>
        <v>0</v>
      </c>
      <c r="G5" s="148">
        <f>IFERROR(IF(G$4="U",$C5,IF(G$4="X",0,IF(G$4="N",((INDEX(IPop,MATCH($C$2,IInst,0))+1+SUM($E$2:G$2))*INDEX(tblSRD[[Units/mo]:[Units/mo]],MATCH($B5,tblSRD[[Menu Item]:[Menu Item]],0)))/-28,""))),0)</f>
        <v>0</v>
      </c>
      <c r="H5" s="148">
        <f>IFERROR(IF(H$4="U",$C5,IF(H$4="X",0,IF(H$4="N",((INDEX(IPop,MATCH($C$2,IInst,0))+1+SUM($E$2:H$2))*INDEX(tblSRD[[Units/mo]:[Units/mo]],MATCH($B5,tblSRD[[Menu Item]:[Menu Item]],0)))/-28,""))),0)</f>
        <v>0</v>
      </c>
      <c r="I5" s="148">
        <f>IFERROR(IF(I$4="U",$C5,IF(I$4="X",0,IF(I$4="N",((INDEX(IPop,MATCH($C$2,IInst,0))+1+SUM($E$2:I$2))*INDEX(tblSRD[[Units/mo]:[Units/mo]],MATCH($B5,tblSRD[[Menu Item]:[Menu Item]],0)))/-28,""))),0)</f>
        <v>0</v>
      </c>
      <c r="J5" s="148">
        <f>IFERROR(IF(J$4="U",$C5,IF(J$4="X",0,IF(J$4="N",((INDEX(IPop,MATCH($C$2,IInst,0))+1+SUM($E$2:J$2))*INDEX(tblSRD[[Units/mo]:[Units/mo]],MATCH($B5,tblSRD[[Menu Item]:[Menu Item]],0)))/-28,""))),0)</f>
        <v>0</v>
      </c>
      <c r="K5" s="149">
        <f>IFERROR(IF(K$4="U",$C5,IF(K$4="X",0,IF(K$4="N",((INDEX(IPop,MATCH($C$2,IInst,0))+1+SUM($E$2:K$2))*INDEX(tblSRD[[Units/mo]:[Units/mo]],MATCH($B5,tblSRD[[Menu Item]:[Menu Item]],0)))/-28,""))),0)</f>
        <v>0</v>
      </c>
      <c r="L5" s="148">
        <f>IFERROR(IF(L$4="U",$C5,IF(L$4="X",0,IF(L$4="N",((INDEX(IPop,MATCH($C$2,IInst,0))+1+SUM($E$2:L$2))*INDEX(tblSRD[[Units/mo]:[Units/mo]],MATCH($B5,tblSRD[[Menu Item]:[Menu Item]],0)))/-28,""))),0)</f>
        <v>0</v>
      </c>
      <c r="M5" s="148">
        <f>IFERROR(IF(M$4="U",$C5,IF(M$4="X",0,IF(M$4="N",((INDEX(IPop,MATCH($C$2,IInst,0))+1+SUM($E$2:M$2))*INDEX(tblSRD[[Units/mo]:[Units/mo]],MATCH($B5,tblSRD[[Menu Item]:[Menu Item]],0)))/-28,""))),0)</f>
        <v>0</v>
      </c>
      <c r="N5" s="148">
        <f>IFERROR(IF(N$4="U",$C5,IF(N$4="X",0,IF(N$4="N",((INDEX(IPop,MATCH($C$2,IInst,0))+1+SUM($E$2:N$2))*INDEX(tblSRD[[Units/mo]:[Units/mo]],MATCH($B5,tblSRD[[Menu Item]:[Menu Item]],0)))/-28,""))),0)</f>
        <v>0</v>
      </c>
      <c r="O5" s="148">
        <f>IFERROR(IF(O$4="U",$C5,IF(O$4="X",0,IF(O$4="N",((INDEX(IPop,MATCH($C$2,IInst,0))+1+SUM($E$2:O$2))*INDEX(tblSRD[[Units/mo]:[Units/mo]],MATCH($B5,tblSRD[[Menu Item]:[Menu Item]],0)))/-28,""))),0)</f>
        <v>0</v>
      </c>
      <c r="P5" s="148">
        <f>IFERROR(IF(P$4="U",$C5,IF(P$4="X",0,IF(P$4="N",((INDEX(IPop,MATCH($C$2,IInst,0))+1+SUM($E$2:P$2))*INDEX(tblSRD[[Units/mo]:[Units/mo]],MATCH($B5,tblSRD[[Menu Item]:[Menu Item]],0)))/-28,""))),0)</f>
        <v>0</v>
      </c>
      <c r="Q5" s="148">
        <f>IFERROR(IF(Q$4="U",$C5,IF(Q$4="X",0,IF(Q$4="N",((INDEX(IPop,MATCH($C$2,IInst,0))+1+SUM($E$2:Q$2))*INDEX(tblSRD[[Units/mo]:[Units/mo]],MATCH($B5,tblSRD[[Menu Item]:[Menu Item]],0)))/-28,""))),0)</f>
        <v>0</v>
      </c>
      <c r="R5" s="149">
        <f>IFERROR(IF(R$4="U",$C5,IF(R$4="X",0,IF(R$4="N",((INDEX(IPop,MATCH($C$2,IInst,0))+1+SUM($E$2:R$2))*INDEX(tblSRD[[Units/mo]:[Units/mo]],MATCH($B5,tblSRD[[Menu Item]:[Menu Item]],0)))/-28,""))),0)</f>
        <v>0</v>
      </c>
      <c r="S5" s="148">
        <f>IFERROR(IF(S$4="U",$C5,IF(S$4="X",0,IF(S$4="N",((INDEX(IPop,MATCH($C$2,IInst,0))+1+SUM($E$2:S$2))*INDEX(tblSRD[[Units/mo]:[Units/mo]],MATCH($B5,tblSRD[[Menu Item]:[Menu Item]],0)))/-28,""))),0)</f>
        <v>588</v>
      </c>
      <c r="T5" s="148">
        <f>IFERROR(IF(T$4="U",$C5,IF(T$4="X",0,IF(T$4="N",((INDEX(IPop,MATCH($C$2,IInst,0))+1+SUM($E$2:T$2))*INDEX(tblSRD[[Units/mo]:[Units/mo]],MATCH($B5,tblSRD[[Menu Item]:[Menu Item]],0)))/-28,""))),0)</f>
        <v>-15.25</v>
      </c>
      <c r="U5" s="148">
        <f>IFERROR(IF(U$4="U",$C5,IF(U$4="X",0,IF(U$4="N",((INDEX(IPop,MATCH($C$2,IInst,0))+1+SUM($E$2:U$2))*INDEX(tblSRD[[Units/mo]:[Units/mo]],MATCH($B5,tblSRD[[Menu Item]:[Menu Item]],0)))/-28,""))),0)</f>
        <v>-15.25</v>
      </c>
      <c r="V5" s="148">
        <f>IFERROR(IF(V$4="U",$C5,IF(V$4="X",0,IF(V$4="N",((INDEX(IPop,MATCH($C$2,IInst,0))+1+SUM($E$2:V$2))*INDEX(tblSRD[[Units/mo]:[Units/mo]],MATCH($B5,tblSRD[[Menu Item]:[Menu Item]],0)))/-28,""))),0)</f>
        <v>-15.25</v>
      </c>
      <c r="W5" s="148">
        <f>IFERROR(IF(W$4="U",$C5,IF(W$4="X",0,IF(W$4="N",((INDEX(IPop,MATCH($C$2,IInst,0))+1+SUM($E$2:W$2))*INDEX(tblSRD[[Units/mo]:[Units/mo]],MATCH($B5,tblSRD[[Menu Item]:[Menu Item]],0)))/-28,""))),0)</f>
        <v>-15.25</v>
      </c>
      <c r="X5" s="148">
        <f>IFERROR(IF(X$4="U",$C5,IF(X$4="X",0,IF(X$4="N",((INDEX(IPop,MATCH($C$2,IInst,0))+1+SUM($E$2:X$2))*INDEX(tblSRD[[Units/mo]:[Units/mo]],MATCH($B5,tblSRD[[Menu Item]:[Menu Item]],0)))/-28,""))),0)</f>
        <v>-15.25</v>
      </c>
      <c r="Y5" s="149">
        <f>IFERROR(IF(Y$4="U",$C5,IF(Y$4="X",0,IF(Y$4="N",((INDEX(IPop,MATCH($C$2,IInst,0))+1+SUM($E$2:Y$2))*INDEX(tblSRD[[Units/mo]:[Units/mo]],MATCH($B5,tblSRD[[Menu Item]:[Menu Item]],0)))/-28,""))),0)</f>
        <v>-15.25</v>
      </c>
      <c r="Z5" s="148">
        <f>IFERROR(IF(Z$4="U",$C5,IF(Z$4="X",0,IF(Z$4="N",((INDEX(IPop,MATCH($C$2,IInst,0))+1+SUM($E$2:Z$2))*INDEX(tblSRD[[Units/mo]:[Units/mo]],MATCH($B5,tblSRD[[Menu Item]:[Menu Item]],0)))/-28,""))),0)</f>
        <v>-15.25</v>
      </c>
      <c r="AA5" s="148">
        <f>IFERROR(IF(AA$4="U",$C5,IF(AA$4="X",0,IF(AA$4="N",((INDEX(IPop,MATCH($C$2,IInst,0))+1+SUM($E$2:AA$2))*INDEX(tblSRD[[Units/mo]:[Units/mo]],MATCH($B5,tblSRD[[Menu Item]:[Menu Item]],0)))/-28,""))),0)</f>
        <v>-15.25</v>
      </c>
      <c r="AB5" s="148">
        <f>IFERROR(IF(AB$4="U",$C5,IF(AB$4="X",0,IF(AB$4="N",((INDEX(IPop,MATCH($C$2,IInst,0))+1+SUM($E$2:AB$2))*INDEX(tblSRD[[Units/mo]:[Units/mo]],MATCH($B5,tblSRD[[Menu Item]:[Menu Item]],0)))/-28,""))),0)</f>
        <v>-15.25</v>
      </c>
      <c r="AC5" s="148">
        <f>IFERROR(IF(AC$4="U",$C5,IF(AC$4="X",0,IF(AC$4="N",((INDEX(IPop,MATCH($C$2,IInst,0))+1+SUM($E$2:AC$2))*INDEX(tblSRD[[Units/mo]:[Units/mo]],MATCH($B5,tblSRD[[Menu Item]:[Menu Item]],0)))/-28,""))),0)</f>
        <v>-15.25</v>
      </c>
      <c r="AD5" s="148">
        <f>IFERROR(IF(AD$4="U",$C5,IF(AD$4="X",0,IF(AD$4="N",((INDEX(IPop,MATCH($C$2,IInst,0))+1+SUM($E$2:AD$2))*INDEX(tblSRD[[Units/mo]:[Units/mo]],MATCH($B5,tblSRD[[Menu Item]:[Menu Item]],0)))/-28,""))),0)</f>
        <v>-15.25</v>
      </c>
      <c r="AE5" s="148">
        <f>IFERROR(IF(AE$4="U",$C5,IF(AE$4="X",0,IF(AE$4="N",((INDEX(IPop,MATCH($C$2,IInst,0))+1+SUM($E$2:AE$2))*INDEX(tblSRD[[Units/mo]:[Units/mo]],MATCH($B5,tblSRD[[Menu Item]:[Menu Item]],0)))/-28,""))),0)</f>
        <v>-15.25</v>
      </c>
      <c r="AF5" s="149">
        <f>IFERROR(IF(AF$4="U",$C5,IF(AF$4="X",0,IF(AF$4="N",((INDEX(IPop,MATCH($C$2,IInst,0))+1+SUM($E$2:AF$2))*INDEX(tblSRD[[Units/mo]:[Units/mo]],MATCH($B5,tblSRD[[Menu Item]:[Menu Item]],0)))/-28,""))),0)</f>
        <v>-15.25</v>
      </c>
      <c r="AG5" s="150">
        <f t="shared" ref="AG5:AG10" si="2">IFERROR(IF($B$2&gt;$B$4,SUM(C5:AF5),SUM(E5:AF5)),0)</f>
        <v>389.75</v>
      </c>
      <c r="AH5" s="151">
        <f>IFERROR(IF(INDEX(tblSRD[Shipping?],MATCH(B5,tblSRD[Menu Item],0))="Y",ROUNDDOWN(AG5/INDEX(tblSRD[Units/cs],MATCH(B5,tblSRD[Menu Item],0)),0),""),0)</f>
        <v>9</v>
      </c>
      <c r="AI5" s="38">
        <f>IFERROR(IF(AG5&lt;0,IF(INDEX(tblSRD[Shipping?],MATCH(B5,tblSRD[Menu Item],0))="Y",ROUNDUP(AG5/INDEX(tblSRD[Units/cs],MATCH(B5,tblSRD[Menu Item],0)),0)*-1,""),0),0)</f>
        <v>0</v>
      </c>
      <c r="AJ5" s="163">
        <f>IFERROR(IF(AI5&lt;&gt;"",AI5*(INDEX(tblSRD[Units/cs],MATCH(B5,tblSRD[Menu Item],0))),""),0)</f>
        <v>0</v>
      </c>
      <c r="AK5" s="39">
        <f t="shared" ref="AK5:AK10" si="3">IFERROR(IF(AI5&lt;&gt;"",AJ5+AG5,0),0)</f>
        <v>389.75</v>
      </c>
      <c r="AL5" s="28"/>
      <c r="AM5" s="8"/>
      <c r="AN5" s="11"/>
      <c r="AO5" s="11"/>
      <c r="AP5" s="122" t="s">
        <v>88</v>
      </c>
      <c r="AQ5" s="123"/>
      <c r="AR5" s="124"/>
      <c r="AS5" s="124"/>
      <c r="AT5" s="124"/>
      <c r="AU5" s="124"/>
      <c r="AV5" s="124"/>
      <c r="AW5" s="124"/>
      <c r="AX5" s="125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3"/>
      <c r="BO5" s="12"/>
      <c r="BP5" s="12"/>
      <c r="BQ5" s="13"/>
      <c r="BR5" s="8"/>
      <c r="BS5" s="8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3"/>
      <c r="CW5" s="12"/>
      <c r="CX5" s="12"/>
      <c r="CY5" s="13"/>
    </row>
    <row r="6" spans="1:103" ht="12" x14ac:dyDescent="0.2">
      <c r="A6" s="190"/>
      <c r="B6" s="19" t="s">
        <v>14</v>
      </c>
      <c r="C6" s="54">
        <f>IFERROR(IF(ROUNDDOWN((INDEX(IUpdate,MATCH($B6,IMenu,0),MATCH(C$2,IInst,0))*INDEX(tblSRD[Units/cs],MATCH($B6,tblSRD[Menu Item],0))),0)&gt;0,ROUNDDOWN((INDEX(IUpdate,MATCH($B6,IMenu,0),MATCH(C$2,IInst,0))*INDEX(tblSRD[Units/cs],MATCH($B6,tblSRD[Menu Item],0))),0),0),0)</f>
        <v>455</v>
      </c>
      <c r="D6" s="152">
        <f>IFERROR(((INDEX(IPop,MATCH($C$2,IInst,0))+1+SUM($E$2:E$2))*INDEX(tblSRD[[Units/mo]:[Units/mo]],MATCH($B6,tblSRD[[Menu Item]:[Menu Item]],0))/-28)*$D$4,0)</f>
        <v>0</v>
      </c>
      <c r="E6" s="148">
        <f>IFERROR(IF(E$4="U",$C6,IF(E$4="X",0,IF(E$4="N",((INDEX(IPop,MATCH($C$2,IInst,0))+1+SUM($E$2:E$2))*INDEX(tblSRD[[Units/mo]:[Units/mo]],MATCH($B6,tblSRD[[Menu Item]:[Menu Item]],0)))/-28,""))),0)</f>
        <v>0</v>
      </c>
      <c r="F6" s="148">
        <f>IFERROR(IF(F$4="U",$C6,IF(F$4="X",0,IF(F$4="N",((INDEX(IPop,MATCH($C$2,IInst,0))+1+SUM($E$2:F$2))*INDEX(tblSRD[[Units/mo]:[Units/mo]],MATCH($B6,tblSRD[[Menu Item]:[Menu Item]],0)))/-28,""))),0)</f>
        <v>0</v>
      </c>
      <c r="G6" s="148">
        <f>IFERROR(IF(G$4="U",$C6,IF(G$4="X",0,IF(G$4="N",((INDEX(IPop,MATCH($C$2,IInst,0))+1+SUM($E$2:G$2))*INDEX(tblSRD[[Units/mo]:[Units/mo]],MATCH($B6,tblSRD[[Menu Item]:[Menu Item]],0)))/-28,""))),0)</f>
        <v>0</v>
      </c>
      <c r="H6" s="148">
        <f>IFERROR(IF(H$4="U",$C6,IF(H$4="X",0,IF(H$4="N",((INDEX(IPop,MATCH($C$2,IInst,0))+1+SUM($E$2:H$2))*INDEX(tblSRD[[Units/mo]:[Units/mo]],MATCH($B6,tblSRD[[Menu Item]:[Menu Item]],0)))/-28,""))),0)</f>
        <v>0</v>
      </c>
      <c r="I6" s="148">
        <f>IFERROR(IF(I$4="U",$C6,IF(I$4="X",0,IF(I$4="N",((INDEX(IPop,MATCH($C$2,IInst,0))+1+SUM($E$2:I$2))*INDEX(tblSRD[[Units/mo]:[Units/mo]],MATCH($B6,tblSRD[[Menu Item]:[Menu Item]],0)))/-28,""))),0)</f>
        <v>0</v>
      </c>
      <c r="J6" s="148">
        <f>IFERROR(IF(J$4="U",$C6,IF(J$4="X",0,IF(J$4="N",((INDEX(IPop,MATCH($C$2,IInst,0))+1+SUM($E$2:J$2))*INDEX(tblSRD[[Units/mo]:[Units/mo]],MATCH($B6,tblSRD[[Menu Item]:[Menu Item]],0)))/-28,""))),0)</f>
        <v>0</v>
      </c>
      <c r="K6" s="149">
        <f>IFERROR(IF(K$4="U",$C6,IF(K$4="X",0,IF(K$4="N",((INDEX(IPop,MATCH($C$2,IInst,0))+1+SUM($E$2:K$2))*INDEX(tblSRD[[Units/mo]:[Units/mo]],MATCH($B6,tblSRD[[Menu Item]:[Menu Item]],0)))/-28,""))),0)</f>
        <v>0</v>
      </c>
      <c r="L6" s="148">
        <f>IFERROR(IF(L$4="U",$C6,IF(L$4="X",0,IF(L$4="N",((INDEX(IPop,MATCH($C$2,IInst,0))+1+SUM($E$2:L$2))*INDEX(tblSRD[[Units/mo]:[Units/mo]],MATCH($B6,tblSRD[[Menu Item]:[Menu Item]],0)))/-28,""))),0)</f>
        <v>0</v>
      </c>
      <c r="M6" s="148">
        <f>IFERROR(IF(M$4="U",$C6,IF(M$4="X",0,IF(M$4="N",((INDEX(IPop,MATCH($C$2,IInst,0))+1+SUM($E$2:M$2))*INDEX(tblSRD[[Units/mo]:[Units/mo]],MATCH($B6,tblSRD[[Menu Item]:[Menu Item]],0)))/-28,""))),0)</f>
        <v>0</v>
      </c>
      <c r="N6" s="148">
        <f>IFERROR(IF(N$4="U",$C6,IF(N$4="X",0,IF(N$4="N",((INDEX(IPop,MATCH($C$2,IInst,0))+1+SUM($E$2:N$2))*INDEX(tblSRD[[Units/mo]:[Units/mo]],MATCH($B6,tblSRD[[Menu Item]:[Menu Item]],0)))/-28,""))),0)</f>
        <v>0</v>
      </c>
      <c r="O6" s="148">
        <f>IFERROR(IF(O$4="U",$C6,IF(O$4="X",0,IF(O$4="N",((INDEX(IPop,MATCH($C$2,IInst,0))+1+SUM($E$2:O$2))*INDEX(tblSRD[[Units/mo]:[Units/mo]],MATCH($B6,tblSRD[[Menu Item]:[Menu Item]],0)))/-28,""))),0)</f>
        <v>0</v>
      </c>
      <c r="P6" s="148">
        <f>IFERROR(IF(P$4="U",$C6,IF(P$4="X",0,IF(P$4="N",((INDEX(IPop,MATCH($C$2,IInst,0))+1+SUM($E$2:P$2))*INDEX(tblSRD[[Units/mo]:[Units/mo]],MATCH($B6,tblSRD[[Menu Item]:[Menu Item]],0)))/-28,""))),0)</f>
        <v>0</v>
      </c>
      <c r="Q6" s="148">
        <f>IFERROR(IF(Q$4="U",$C6,IF(Q$4="X",0,IF(Q$4="N",((INDEX(IPop,MATCH($C$2,IInst,0))+1+SUM($E$2:Q$2))*INDEX(tblSRD[[Units/mo]:[Units/mo]],MATCH($B6,tblSRD[[Menu Item]:[Menu Item]],0)))/-28,""))),0)</f>
        <v>0</v>
      </c>
      <c r="R6" s="149">
        <f>IFERROR(IF(R$4="U",$C6,IF(R$4="X",0,IF(R$4="N",((INDEX(IPop,MATCH($C$2,IInst,0))+1+SUM($E$2:R$2))*INDEX(tblSRD[[Units/mo]:[Units/mo]],MATCH($B6,tblSRD[[Menu Item]:[Menu Item]],0)))/-28,""))),0)</f>
        <v>0</v>
      </c>
      <c r="S6" s="148">
        <f>IFERROR(IF(S$4="U",$C6,IF(S$4="X",0,IF(S$4="N",((INDEX(IPop,MATCH($C$2,IInst,0))+1+SUM($E$2:S$2))*INDEX(tblSRD[[Units/mo]:[Units/mo]],MATCH($B6,tblSRD[[Menu Item]:[Menu Item]],0)))/-28,""))),0)</f>
        <v>455</v>
      </c>
      <c r="T6" s="148">
        <f>IFERROR(IF(T$4="U",$C6,IF(T$4="X",0,IF(T$4="N",((INDEX(IPop,MATCH($C$2,IInst,0))+1+SUM($E$2:T$2))*INDEX(tblSRD[[Units/mo]:[Units/mo]],MATCH($B6,tblSRD[[Menu Item]:[Menu Item]],0)))/-28,""))),0)</f>
        <v>-15.25</v>
      </c>
      <c r="U6" s="148">
        <f>IFERROR(IF(U$4="U",$C6,IF(U$4="X",0,IF(U$4="N",((INDEX(IPop,MATCH($C$2,IInst,0))+1+SUM($E$2:U$2))*INDEX(tblSRD[[Units/mo]:[Units/mo]],MATCH($B6,tblSRD[[Menu Item]:[Menu Item]],0)))/-28,""))),0)</f>
        <v>-15.25</v>
      </c>
      <c r="V6" s="148">
        <f>IFERROR(IF(V$4="U",$C6,IF(V$4="X",0,IF(V$4="N",((INDEX(IPop,MATCH($C$2,IInst,0))+1+SUM($E$2:V$2))*INDEX(tblSRD[[Units/mo]:[Units/mo]],MATCH($B6,tblSRD[[Menu Item]:[Menu Item]],0)))/-28,""))),0)</f>
        <v>-15.25</v>
      </c>
      <c r="W6" s="148">
        <f>IFERROR(IF(W$4="U",$C6,IF(W$4="X",0,IF(W$4="N",((INDEX(IPop,MATCH($C$2,IInst,0))+1+SUM($E$2:W$2))*INDEX(tblSRD[[Units/mo]:[Units/mo]],MATCH($B6,tblSRD[[Menu Item]:[Menu Item]],0)))/-28,""))),0)</f>
        <v>-15.25</v>
      </c>
      <c r="X6" s="148">
        <f>IFERROR(IF(X$4="U",$C6,IF(X$4="X",0,IF(X$4="N",((INDEX(IPop,MATCH($C$2,IInst,0))+1+SUM($E$2:X$2))*INDEX(tblSRD[[Units/mo]:[Units/mo]],MATCH($B6,tblSRD[[Menu Item]:[Menu Item]],0)))/-28,""))),0)</f>
        <v>-15.25</v>
      </c>
      <c r="Y6" s="149">
        <f>IFERROR(IF(Y$4="U",$C6,IF(Y$4="X",0,IF(Y$4="N",((INDEX(IPop,MATCH($C$2,IInst,0))+1+SUM($E$2:Y$2))*INDEX(tblSRD[[Units/mo]:[Units/mo]],MATCH($B6,tblSRD[[Menu Item]:[Menu Item]],0)))/-28,""))),0)</f>
        <v>-15.25</v>
      </c>
      <c r="Z6" s="148">
        <f>IFERROR(IF(Z$4="U",$C6,IF(Z$4="X",0,IF(Z$4="N",((INDEX(IPop,MATCH($C$2,IInst,0))+1+SUM($E$2:Z$2))*INDEX(tblSRD[[Units/mo]:[Units/mo]],MATCH($B6,tblSRD[[Menu Item]:[Menu Item]],0)))/-28,""))),0)</f>
        <v>-15.25</v>
      </c>
      <c r="AA6" s="148">
        <f>IFERROR(IF(AA$4="U",$C6,IF(AA$4="X",0,IF(AA$4="N",((INDEX(IPop,MATCH($C$2,IInst,0))+1+SUM($E$2:AA$2))*INDEX(tblSRD[[Units/mo]:[Units/mo]],MATCH($B6,tblSRD[[Menu Item]:[Menu Item]],0)))/-28,""))),0)</f>
        <v>-15.25</v>
      </c>
      <c r="AB6" s="148">
        <f>IFERROR(IF(AB$4="U",$C6,IF(AB$4="X",0,IF(AB$4="N",((INDEX(IPop,MATCH($C$2,IInst,0))+1+SUM($E$2:AB$2))*INDEX(tblSRD[[Units/mo]:[Units/mo]],MATCH($B6,tblSRD[[Menu Item]:[Menu Item]],0)))/-28,""))),0)</f>
        <v>-15.25</v>
      </c>
      <c r="AC6" s="148">
        <f>IFERROR(IF(AC$4="U",$C6,IF(AC$4="X",0,IF(AC$4="N",((INDEX(IPop,MATCH($C$2,IInst,0))+1+SUM($E$2:AC$2))*INDEX(tblSRD[[Units/mo]:[Units/mo]],MATCH($B6,tblSRD[[Menu Item]:[Menu Item]],0)))/-28,""))),0)</f>
        <v>-15.25</v>
      </c>
      <c r="AD6" s="148">
        <f>IFERROR(IF(AD$4="U",$C6,IF(AD$4="X",0,IF(AD$4="N",((INDEX(IPop,MATCH($C$2,IInst,0))+1+SUM($E$2:AD$2))*INDEX(tblSRD[[Units/mo]:[Units/mo]],MATCH($B6,tblSRD[[Menu Item]:[Menu Item]],0)))/-28,""))),0)</f>
        <v>-15.25</v>
      </c>
      <c r="AE6" s="148">
        <f>IFERROR(IF(AE$4="U",$C6,IF(AE$4="X",0,IF(AE$4="N",((INDEX(IPop,MATCH($C$2,IInst,0))+1+SUM($E$2:AE$2))*INDEX(tblSRD[[Units/mo]:[Units/mo]],MATCH($B6,tblSRD[[Menu Item]:[Menu Item]],0)))/-28,""))),0)</f>
        <v>-15.25</v>
      </c>
      <c r="AF6" s="149">
        <f>IFERROR(IF(AF$4="U",$C6,IF(AF$4="X",0,IF(AF$4="N",((INDEX(IPop,MATCH($C$2,IInst,0))+1+SUM($E$2:AF$2))*INDEX(tblSRD[[Units/mo]:[Units/mo]],MATCH($B6,tblSRD[[Menu Item]:[Menu Item]],0)))/-28,""))),0)</f>
        <v>-15.25</v>
      </c>
      <c r="AG6" s="150">
        <f t="shared" si="2"/>
        <v>256.75</v>
      </c>
      <c r="AH6" s="151">
        <f>IFERROR(IF(INDEX(tblSRD[Shipping?],MATCH(B6,tblSRD[Menu Item],0))="Y",ROUNDDOWN(AG6/INDEX(tblSRD[Units/cs],MATCH(B6,tblSRD[Menu Item],0)),0),""),0)</f>
        <v>7</v>
      </c>
      <c r="AI6" s="41">
        <f>IFERROR(IF(AG6&lt;0,IF(INDEX(tblSRD[Shipping?],MATCH(B6,tblSRD[Menu Item],0))="Y",ROUNDUP(AG6/INDEX(tblSRD[Units/cs],MATCH(B6,tblSRD[Menu Item],0)),0)*-1,""),0),0)</f>
        <v>0</v>
      </c>
      <c r="AJ6" s="164">
        <f>IFERROR(IF(AI6&lt;&gt;"",AI6*(INDEX(tblSRD[Units/cs],MATCH(B6,tblSRD[Menu Item],0))),""),0)</f>
        <v>0</v>
      </c>
      <c r="AK6" s="42">
        <f t="shared" si="3"/>
        <v>256.75</v>
      </c>
      <c r="AL6" s="28"/>
      <c r="AM6" s="8"/>
      <c r="AN6" s="11"/>
      <c r="AO6" s="11"/>
      <c r="AP6" s="126" t="s">
        <v>89</v>
      </c>
      <c r="AQ6" s="127"/>
      <c r="AR6" s="128"/>
      <c r="AS6" s="128"/>
      <c r="AT6" s="128"/>
      <c r="AU6" s="128"/>
      <c r="AV6" s="128"/>
      <c r="AW6" s="128"/>
      <c r="AX6" s="129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3"/>
      <c r="BO6" s="12"/>
      <c r="BP6" s="12"/>
      <c r="BQ6" s="13"/>
      <c r="BR6" s="8"/>
      <c r="BS6" s="8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3"/>
      <c r="CW6" s="12"/>
      <c r="CX6" s="12"/>
      <c r="CY6" s="13"/>
    </row>
    <row r="7" spans="1:103" ht="12" x14ac:dyDescent="0.2">
      <c r="A7" s="190"/>
      <c r="B7" s="19" t="s">
        <v>59</v>
      </c>
      <c r="C7" s="54">
        <f>IFERROR(IF(ROUNDDOWN((INDEX(IUpdate,MATCH($B7,IMenu,0),MATCH(C$2,IInst,0))*INDEX(tblSRD[Units/cs],MATCH($B7,tblSRD[Menu Item],0))),0)&gt;0,ROUNDDOWN((INDEX(IUpdate,MATCH($B7,IMenu,0),MATCH(C$2,IInst,0))*INDEX(tblSRD[Units/cs],MATCH($B7,tblSRD[Menu Item],0))),0),0),0)</f>
        <v>1470</v>
      </c>
      <c r="D7" s="152">
        <f>IFERROR(((INDEX(IPop,MATCH($C$2,IInst,0))+1+SUM($E$2:E$2))*INDEX(tblSRD[[Units/mo]:[Units/mo]],MATCH($B7,tblSRD[[Menu Item]:[Menu Item]],0))/-28)*$D$4,0)</f>
        <v>0</v>
      </c>
      <c r="E7" s="148">
        <f>IFERROR(IF(E$4="U",$C7,IF(E$4="X",0,IF(E$4="N",((INDEX(IPop,MATCH($C$2,IInst,0))+1+SUM($E$2:E$2))*INDEX(tblSRD[[Units/mo]:[Units/mo]],MATCH($B7,tblSRD[[Menu Item]:[Menu Item]],0)))/-28,""))),0)</f>
        <v>0</v>
      </c>
      <c r="F7" s="148">
        <f>IFERROR(IF(F$4="U",$C7,IF(F$4="X",0,IF(F$4="N",((INDEX(IPop,MATCH($C$2,IInst,0))+1+SUM($E$2:F$2))*INDEX(tblSRD[[Units/mo]:[Units/mo]],MATCH($B7,tblSRD[[Menu Item]:[Menu Item]],0)))/-28,""))),0)</f>
        <v>0</v>
      </c>
      <c r="G7" s="148">
        <f>IFERROR(IF(G$4="U",$C7,IF(G$4="X",0,IF(G$4="N",((INDEX(IPop,MATCH($C$2,IInst,0))+1+SUM($E$2:G$2))*INDEX(tblSRD[[Units/mo]:[Units/mo]],MATCH($B7,tblSRD[[Menu Item]:[Menu Item]],0)))/-28,""))),0)</f>
        <v>0</v>
      </c>
      <c r="H7" s="148">
        <f>IFERROR(IF(H$4="U",$C7,IF(H$4="X",0,IF(H$4="N",((INDEX(IPop,MATCH($C$2,IInst,0))+1+SUM($E$2:H$2))*INDEX(tblSRD[[Units/mo]:[Units/mo]],MATCH($B7,tblSRD[[Menu Item]:[Menu Item]],0)))/-28,""))),0)</f>
        <v>0</v>
      </c>
      <c r="I7" s="148">
        <f>IFERROR(IF(I$4="U",$C7,IF(I$4="X",0,IF(I$4="N",((INDEX(IPop,MATCH($C$2,IInst,0))+1+SUM($E$2:I$2))*INDEX(tblSRD[[Units/mo]:[Units/mo]],MATCH($B7,tblSRD[[Menu Item]:[Menu Item]],0)))/-28,""))),0)</f>
        <v>0</v>
      </c>
      <c r="J7" s="148">
        <f>IFERROR(IF(J$4="U",$C7,IF(J$4="X",0,IF(J$4="N",((INDEX(IPop,MATCH($C$2,IInst,0))+1+SUM($E$2:J$2))*INDEX(tblSRD[[Units/mo]:[Units/mo]],MATCH($B7,tblSRD[[Menu Item]:[Menu Item]],0)))/-28,""))),0)</f>
        <v>0</v>
      </c>
      <c r="K7" s="149">
        <f>IFERROR(IF(K$4="U",$C7,IF(K$4="X",0,IF(K$4="N",((INDEX(IPop,MATCH($C$2,IInst,0))+1+SUM($E$2:K$2))*INDEX(tblSRD[[Units/mo]:[Units/mo]],MATCH($B7,tblSRD[[Menu Item]:[Menu Item]],0)))/-28,""))),0)</f>
        <v>0</v>
      </c>
      <c r="L7" s="148">
        <f>IFERROR(IF(L$4="U",$C7,IF(L$4="X",0,IF(L$4="N",((INDEX(IPop,MATCH($C$2,IInst,0))+1+SUM($E$2:L$2))*INDEX(tblSRD[[Units/mo]:[Units/mo]],MATCH($B7,tblSRD[[Menu Item]:[Menu Item]],0)))/-28,""))),0)</f>
        <v>0</v>
      </c>
      <c r="M7" s="148">
        <f>IFERROR(IF(M$4="U",$C7,IF(M$4="X",0,IF(M$4="N",((INDEX(IPop,MATCH($C$2,IInst,0))+1+SUM($E$2:M$2))*INDEX(tblSRD[[Units/mo]:[Units/mo]],MATCH($B7,tblSRD[[Menu Item]:[Menu Item]],0)))/-28,""))),0)</f>
        <v>0</v>
      </c>
      <c r="N7" s="148">
        <f>IFERROR(IF(N$4="U",$C7,IF(N$4="X",0,IF(N$4="N",((INDEX(IPop,MATCH($C$2,IInst,0))+1+SUM($E$2:N$2))*INDEX(tblSRD[[Units/mo]:[Units/mo]],MATCH($B7,tblSRD[[Menu Item]:[Menu Item]],0)))/-28,""))),0)</f>
        <v>0</v>
      </c>
      <c r="O7" s="148">
        <f>IFERROR(IF(O$4="U",$C7,IF(O$4="X",0,IF(O$4="N",((INDEX(IPop,MATCH($C$2,IInst,0))+1+SUM($E$2:O$2))*INDEX(tblSRD[[Units/mo]:[Units/mo]],MATCH($B7,tblSRD[[Menu Item]:[Menu Item]],0)))/-28,""))),0)</f>
        <v>0</v>
      </c>
      <c r="P7" s="148">
        <f>IFERROR(IF(P$4="U",$C7,IF(P$4="X",0,IF(P$4="N",((INDEX(IPop,MATCH($C$2,IInst,0))+1+SUM($E$2:P$2))*INDEX(tblSRD[[Units/mo]:[Units/mo]],MATCH($B7,tblSRD[[Menu Item]:[Menu Item]],0)))/-28,""))),0)</f>
        <v>0</v>
      </c>
      <c r="Q7" s="148">
        <f>IFERROR(IF(Q$4="U",$C7,IF(Q$4="X",0,IF(Q$4="N",((INDEX(IPop,MATCH($C$2,IInst,0))+1+SUM($E$2:Q$2))*INDEX(tblSRD[[Units/mo]:[Units/mo]],MATCH($B7,tblSRD[[Menu Item]:[Menu Item]],0)))/-28,""))),0)</f>
        <v>0</v>
      </c>
      <c r="R7" s="149">
        <f>IFERROR(IF(R$4="U",$C7,IF(R$4="X",0,IF(R$4="N",((INDEX(IPop,MATCH($C$2,IInst,0))+1+SUM($E$2:R$2))*INDEX(tblSRD[[Units/mo]:[Units/mo]],MATCH($B7,tblSRD[[Menu Item]:[Menu Item]],0)))/-28,""))),0)</f>
        <v>0</v>
      </c>
      <c r="S7" s="148">
        <f>IFERROR(IF(S$4="U",$C7,IF(S$4="X",0,IF(S$4="N",((INDEX(IPop,MATCH($C$2,IInst,0))+1+SUM($E$2:S$2))*INDEX(tblSRD[[Units/mo]:[Units/mo]],MATCH($B7,tblSRD[[Menu Item]:[Menu Item]],0)))/-28,""))),0)</f>
        <v>1470</v>
      </c>
      <c r="T7" s="148">
        <f>IFERROR(IF(T$4="U",$C7,IF(T$4="X",0,IF(T$4="N",((INDEX(IPop,MATCH($C$2,IInst,0))+1+SUM($E$2:T$2))*INDEX(tblSRD[[Units/mo]:[Units/mo]],MATCH($B7,tblSRD[[Menu Item]:[Menu Item]],0)))/-28,""))),0)</f>
        <v>-8.7142857142857135</v>
      </c>
      <c r="U7" s="148">
        <f>IFERROR(IF(U$4="U",$C7,IF(U$4="X",0,IF(U$4="N",((INDEX(IPop,MATCH($C$2,IInst,0))+1+SUM($E$2:U$2))*INDEX(tblSRD[[Units/mo]:[Units/mo]],MATCH($B7,tblSRD[[Menu Item]:[Menu Item]],0)))/-28,""))),0)</f>
        <v>-8.7142857142857135</v>
      </c>
      <c r="V7" s="148">
        <f>IFERROR(IF(V$4="U",$C7,IF(V$4="X",0,IF(V$4="N",((INDEX(IPop,MATCH($C$2,IInst,0))+1+SUM($E$2:V$2))*INDEX(tblSRD[[Units/mo]:[Units/mo]],MATCH($B7,tblSRD[[Menu Item]:[Menu Item]],0)))/-28,""))),0)</f>
        <v>-8.7142857142857135</v>
      </c>
      <c r="W7" s="148">
        <f>IFERROR(IF(W$4="U",$C7,IF(W$4="X",0,IF(W$4="N",((INDEX(IPop,MATCH($C$2,IInst,0))+1+SUM($E$2:W$2))*INDEX(tblSRD[[Units/mo]:[Units/mo]],MATCH($B7,tblSRD[[Menu Item]:[Menu Item]],0)))/-28,""))),0)</f>
        <v>-8.7142857142857135</v>
      </c>
      <c r="X7" s="148">
        <f>IFERROR(IF(X$4="U",$C7,IF(X$4="X",0,IF(X$4="N",((INDEX(IPop,MATCH($C$2,IInst,0))+1+SUM($E$2:X$2))*INDEX(tblSRD[[Units/mo]:[Units/mo]],MATCH($B7,tblSRD[[Menu Item]:[Menu Item]],0)))/-28,""))),0)</f>
        <v>-8.7142857142857135</v>
      </c>
      <c r="Y7" s="149">
        <f>IFERROR(IF(Y$4="U",$C7,IF(Y$4="X",0,IF(Y$4="N",((INDEX(IPop,MATCH($C$2,IInst,0))+1+SUM($E$2:Y$2))*INDEX(tblSRD[[Units/mo]:[Units/mo]],MATCH($B7,tblSRD[[Menu Item]:[Menu Item]],0)))/-28,""))),0)</f>
        <v>-8.7142857142857135</v>
      </c>
      <c r="Z7" s="148">
        <f>IFERROR(IF(Z$4="U",$C7,IF(Z$4="X",0,IF(Z$4="N",((INDEX(IPop,MATCH($C$2,IInst,0))+1+SUM($E$2:Z$2))*INDEX(tblSRD[[Units/mo]:[Units/mo]],MATCH($B7,tblSRD[[Menu Item]:[Menu Item]],0)))/-28,""))),0)</f>
        <v>-8.7142857142857135</v>
      </c>
      <c r="AA7" s="148">
        <f>IFERROR(IF(AA$4="U",$C7,IF(AA$4="X",0,IF(AA$4="N",((INDEX(IPop,MATCH($C$2,IInst,0))+1+SUM($E$2:AA$2))*INDEX(tblSRD[[Units/mo]:[Units/mo]],MATCH($B7,tblSRD[[Menu Item]:[Menu Item]],0)))/-28,""))),0)</f>
        <v>-8.7142857142857135</v>
      </c>
      <c r="AB7" s="148">
        <f>IFERROR(IF(AB$4="U",$C7,IF(AB$4="X",0,IF(AB$4="N",((INDEX(IPop,MATCH($C$2,IInst,0))+1+SUM($E$2:AB$2))*INDEX(tblSRD[[Units/mo]:[Units/mo]],MATCH($B7,tblSRD[[Menu Item]:[Menu Item]],0)))/-28,""))),0)</f>
        <v>-8.7142857142857135</v>
      </c>
      <c r="AC7" s="148">
        <f>IFERROR(IF(AC$4="U",$C7,IF(AC$4="X",0,IF(AC$4="N",((INDEX(IPop,MATCH($C$2,IInst,0))+1+SUM($E$2:AC$2))*INDEX(tblSRD[[Units/mo]:[Units/mo]],MATCH($B7,tblSRD[[Menu Item]:[Menu Item]],0)))/-28,""))),0)</f>
        <v>-8.7142857142857135</v>
      </c>
      <c r="AD7" s="148">
        <f>IFERROR(IF(AD$4="U",$C7,IF(AD$4="X",0,IF(AD$4="N",((INDEX(IPop,MATCH($C$2,IInst,0))+1+SUM($E$2:AD$2))*INDEX(tblSRD[[Units/mo]:[Units/mo]],MATCH($B7,tblSRD[[Menu Item]:[Menu Item]],0)))/-28,""))),0)</f>
        <v>-8.7142857142857135</v>
      </c>
      <c r="AE7" s="148">
        <f>IFERROR(IF(AE$4="U",$C7,IF(AE$4="X",0,IF(AE$4="N",((INDEX(IPop,MATCH($C$2,IInst,0))+1+SUM($E$2:AE$2))*INDEX(tblSRD[[Units/mo]:[Units/mo]],MATCH($B7,tblSRD[[Menu Item]:[Menu Item]],0)))/-28,""))),0)</f>
        <v>-8.7142857142857135</v>
      </c>
      <c r="AF7" s="149">
        <f>IFERROR(IF(AF$4="U",$C7,IF(AF$4="X",0,IF(AF$4="N",((INDEX(IPop,MATCH($C$2,IInst,0))+1+SUM($E$2:AF$2))*INDEX(tblSRD[[Units/mo]:[Units/mo]],MATCH($B7,tblSRD[[Menu Item]:[Menu Item]],0)))/-28,""))),0)</f>
        <v>-8.7142857142857135</v>
      </c>
      <c r="AG7" s="150">
        <f t="shared" si="2"/>
        <v>1356.7142857142849</v>
      </c>
      <c r="AH7" s="151">
        <f>IFERROR(IF(INDEX(tblSRD[Shipping?],MATCH(B7,tblSRD[Menu Item],0))="Y",ROUNDDOWN(AG7/INDEX(tblSRD[Units/cs],MATCH(B7,tblSRD[Menu Item],0)),0),""),0)</f>
        <v>38</v>
      </c>
      <c r="AI7" s="41">
        <f>IFERROR(IF(AG7&lt;0,IF(INDEX(tblSRD[Shipping?],MATCH(B7,tblSRD[Menu Item],0))="Y",ROUNDUP(AG7/INDEX(tblSRD[Units/cs],MATCH(B7,tblSRD[Menu Item],0)),0)*-1,""),0),0)</f>
        <v>0</v>
      </c>
      <c r="AJ7" s="164">
        <f>IFERROR(IF(AI7&lt;&gt;"",AI7*(INDEX(tblSRD[Units/cs],MATCH(B7,tblSRD[Menu Item],0))),""),0)</f>
        <v>0</v>
      </c>
      <c r="AK7" s="42">
        <f t="shared" si="3"/>
        <v>1356.7142857142849</v>
      </c>
      <c r="AL7" s="28"/>
      <c r="AM7" s="8"/>
      <c r="AN7" s="11"/>
      <c r="AO7" s="11"/>
      <c r="AP7" s="126" t="s">
        <v>90</v>
      </c>
      <c r="AQ7" s="127"/>
      <c r="AR7" s="128"/>
      <c r="AS7" s="128"/>
      <c r="AT7" s="128"/>
      <c r="AU7" s="128"/>
      <c r="AV7" s="128"/>
      <c r="AW7" s="128"/>
      <c r="AX7" s="129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3"/>
      <c r="BO7" s="12"/>
      <c r="BP7" s="12"/>
      <c r="BQ7" s="13"/>
      <c r="BR7" s="8"/>
      <c r="BS7" s="8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3"/>
      <c r="CW7" s="12"/>
      <c r="CX7" s="12"/>
      <c r="CY7" s="13"/>
    </row>
    <row r="8" spans="1:103" ht="12" x14ac:dyDescent="0.2">
      <c r="A8" s="190"/>
      <c r="B8" s="19" t="s">
        <v>16</v>
      </c>
      <c r="C8" s="54">
        <f>IFERROR(IF(ROUNDDOWN((INDEX(IUpdate,MATCH($B8,IMenu,0),MATCH(C$2,IInst,0))*INDEX(tblSRD[Units/cs],MATCH($B8,tblSRD[Menu Item],0))),0)&gt;0,ROUNDDOWN((INDEX(IUpdate,MATCH($B8,IMenu,0),MATCH(C$2,IInst,0))*INDEX(tblSRD[Units/cs],MATCH($B8,tblSRD[Menu Item],0))),0),0),0)</f>
        <v>2000</v>
      </c>
      <c r="D8" s="152">
        <f>IFERROR(((INDEX(IPop,MATCH($C$2,IInst,0))+1+SUM($E$2:E$2))*INDEX(tblSRD[[Units/mo]:[Units/mo]],MATCH($B8,tblSRD[[Menu Item]:[Menu Item]],0))/-28)*$D$4,0)</f>
        <v>0</v>
      </c>
      <c r="E8" s="148">
        <f>IFERROR(IF(E$4="U",$C8,IF(E$4="X",0,IF(E$4="N",((INDEX(IPop,MATCH($C$2,IInst,0))+1+SUM($E$2:E$2))*INDEX(tblSRD[[Units/mo]:[Units/mo]],MATCH($B8,tblSRD[[Menu Item]:[Menu Item]],0)))/-28,""))),0)</f>
        <v>0</v>
      </c>
      <c r="F8" s="148">
        <f>IFERROR(IF(F$4="U",$C8,IF(F$4="X",0,IF(F$4="N",((INDEX(IPop,MATCH($C$2,IInst,0))+1+SUM($E$2:F$2))*INDEX(tblSRD[[Units/mo]:[Units/mo]],MATCH($B8,tblSRD[[Menu Item]:[Menu Item]],0)))/-28,""))),0)</f>
        <v>0</v>
      </c>
      <c r="G8" s="148">
        <f>IFERROR(IF(G$4="U",$C8,IF(G$4="X",0,IF(G$4="N",((INDEX(IPop,MATCH($C$2,IInst,0))+1+SUM($E$2:G$2))*INDEX(tblSRD[[Units/mo]:[Units/mo]],MATCH($B8,tblSRD[[Menu Item]:[Menu Item]],0)))/-28,""))),0)</f>
        <v>0</v>
      </c>
      <c r="H8" s="148">
        <f>IFERROR(IF(H$4="U",$C8,IF(H$4="X",0,IF(H$4="N",((INDEX(IPop,MATCH($C$2,IInst,0))+1+SUM($E$2:H$2))*INDEX(tblSRD[[Units/mo]:[Units/mo]],MATCH($B8,tblSRD[[Menu Item]:[Menu Item]],0)))/-28,""))),0)</f>
        <v>0</v>
      </c>
      <c r="I8" s="148">
        <f>IFERROR(IF(I$4="U",$C8,IF(I$4="X",0,IF(I$4="N",((INDEX(IPop,MATCH($C$2,IInst,0))+1+SUM($E$2:I$2))*INDEX(tblSRD[[Units/mo]:[Units/mo]],MATCH($B8,tblSRD[[Menu Item]:[Menu Item]],0)))/-28,""))),0)</f>
        <v>0</v>
      </c>
      <c r="J8" s="148">
        <f>IFERROR(IF(J$4="U",$C8,IF(J$4="X",0,IF(J$4="N",((INDEX(IPop,MATCH($C$2,IInst,0))+1+SUM($E$2:J$2))*INDEX(tblSRD[[Units/mo]:[Units/mo]],MATCH($B8,tblSRD[[Menu Item]:[Menu Item]],0)))/-28,""))),0)</f>
        <v>0</v>
      </c>
      <c r="K8" s="149">
        <f>IFERROR(IF(K$4="U",$C8,IF(K$4="X",0,IF(K$4="N",((INDEX(IPop,MATCH($C$2,IInst,0))+1+SUM($E$2:K$2))*INDEX(tblSRD[[Units/mo]:[Units/mo]],MATCH($B8,tblSRD[[Menu Item]:[Menu Item]],0)))/-28,""))),0)</f>
        <v>0</v>
      </c>
      <c r="L8" s="148">
        <f>IFERROR(IF(L$4="U",$C8,IF(L$4="X",0,IF(L$4="N",((INDEX(IPop,MATCH($C$2,IInst,0))+1+SUM($E$2:L$2))*INDEX(tblSRD[[Units/mo]:[Units/mo]],MATCH($B8,tblSRD[[Menu Item]:[Menu Item]],0)))/-28,""))),0)</f>
        <v>0</v>
      </c>
      <c r="M8" s="148">
        <f>IFERROR(IF(M$4="U",$C8,IF(M$4="X",0,IF(M$4="N",((INDEX(IPop,MATCH($C$2,IInst,0))+1+SUM($E$2:M$2))*INDEX(tblSRD[[Units/mo]:[Units/mo]],MATCH($B8,tblSRD[[Menu Item]:[Menu Item]],0)))/-28,""))),0)</f>
        <v>0</v>
      </c>
      <c r="N8" s="148">
        <f>IFERROR(IF(N$4="U",$C8,IF(N$4="X",0,IF(N$4="N",((INDEX(IPop,MATCH($C$2,IInst,0))+1+SUM($E$2:N$2))*INDEX(tblSRD[[Units/mo]:[Units/mo]],MATCH($B8,tblSRD[[Menu Item]:[Menu Item]],0)))/-28,""))),0)</f>
        <v>0</v>
      </c>
      <c r="O8" s="148">
        <f>IFERROR(IF(O$4="U",$C8,IF(O$4="X",0,IF(O$4="N",((INDEX(IPop,MATCH($C$2,IInst,0))+1+SUM($E$2:O$2))*INDEX(tblSRD[[Units/mo]:[Units/mo]],MATCH($B8,tblSRD[[Menu Item]:[Menu Item]],0)))/-28,""))),0)</f>
        <v>0</v>
      </c>
      <c r="P8" s="148">
        <f>IFERROR(IF(P$4="U",$C8,IF(P$4="X",0,IF(P$4="N",((INDEX(IPop,MATCH($C$2,IInst,0))+1+SUM($E$2:P$2))*INDEX(tblSRD[[Units/mo]:[Units/mo]],MATCH($B8,tblSRD[[Menu Item]:[Menu Item]],0)))/-28,""))),0)</f>
        <v>0</v>
      </c>
      <c r="Q8" s="148">
        <f>IFERROR(IF(Q$4="U",$C8,IF(Q$4="X",0,IF(Q$4="N",((INDEX(IPop,MATCH($C$2,IInst,0))+1+SUM($E$2:Q$2))*INDEX(tblSRD[[Units/mo]:[Units/mo]],MATCH($B8,tblSRD[[Menu Item]:[Menu Item]],0)))/-28,""))),0)</f>
        <v>0</v>
      </c>
      <c r="R8" s="149">
        <f>IFERROR(IF(R$4="U",$C8,IF(R$4="X",0,IF(R$4="N",((INDEX(IPop,MATCH($C$2,IInst,0))+1+SUM($E$2:R$2))*INDEX(tblSRD[[Units/mo]:[Units/mo]],MATCH($B8,tblSRD[[Menu Item]:[Menu Item]],0)))/-28,""))),0)</f>
        <v>0</v>
      </c>
      <c r="S8" s="148">
        <f>IFERROR(IF(S$4="U",$C8,IF(S$4="X",0,IF(S$4="N",((INDEX(IPop,MATCH($C$2,IInst,0))+1+SUM($E$2:S$2))*INDEX(tblSRD[[Units/mo]:[Units/mo]],MATCH($B8,tblSRD[[Menu Item]:[Menu Item]],0)))/-28,""))),0)</f>
        <v>2000</v>
      </c>
      <c r="T8" s="148">
        <f>IFERROR(IF(T$4="U",$C8,IF(T$4="X",0,IF(T$4="N",((INDEX(IPop,MATCH($C$2,IInst,0))+1+SUM($E$2:T$2))*INDEX(tblSRD[[Units/mo]:[Units/mo]],MATCH($B8,tblSRD[[Menu Item]:[Menu Item]],0)))/-28,""))),0)</f>
        <v>-30.5</v>
      </c>
      <c r="U8" s="148">
        <f>IFERROR(IF(U$4="U",$C8,IF(U$4="X",0,IF(U$4="N",((INDEX(IPop,MATCH($C$2,IInst,0))+1+SUM($E$2:U$2))*INDEX(tblSRD[[Units/mo]:[Units/mo]],MATCH($B8,tblSRD[[Menu Item]:[Menu Item]],0)))/-28,""))),0)</f>
        <v>-30.5</v>
      </c>
      <c r="V8" s="148">
        <f>IFERROR(IF(V$4="U",$C8,IF(V$4="X",0,IF(V$4="N",((INDEX(IPop,MATCH($C$2,IInst,0))+1+SUM($E$2:V$2))*INDEX(tblSRD[[Units/mo]:[Units/mo]],MATCH($B8,tblSRD[[Menu Item]:[Menu Item]],0)))/-28,""))),0)</f>
        <v>-30.5</v>
      </c>
      <c r="W8" s="148">
        <f>IFERROR(IF(W$4="U",$C8,IF(W$4="X",0,IF(W$4="N",((INDEX(IPop,MATCH($C$2,IInst,0))+1+SUM($E$2:W$2))*INDEX(tblSRD[[Units/mo]:[Units/mo]],MATCH($B8,tblSRD[[Menu Item]:[Menu Item]],0)))/-28,""))),0)</f>
        <v>-30.5</v>
      </c>
      <c r="X8" s="148">
        <f>IFERROR(IF(X$4="U",$C8,IF(X$4="X",0,IF(X$4="N",((INDEX(IPop,MATCH($C$2,IInst,0))+1+SUM($E$2:X$2))*INDEX(tblSRD[[Units/mo]:[Units/mo]],MATCH($B8,tblSRD[[Menu Item]:[Menu Item]],0)))/-28,""))),0)</f>
        <v>-30.5</v>
      </c>
      <c r="Y8" s="149">
        <f>IFERROR(IF(Y$4="U",$C8,IF(Y$4="X",0,IF(Y$4="N",((INDEX(IPop,MATCH($C$2,IInst,0))+1+SUM($E$2:Y$2))*INDEX(tblSRD[[Units/mo]:[Units/mo]],MATCH($B8,tblSRD[[Menu Item]:[Menu Item]],0)))/-28,""))),0)</f>
        <v>-30.5</v>
      </c>
      <c r="Z8" s="148">
        <f>IFERROR(IF(Z$4="U",$C8,IF(Z$4="X",0,IF(Z$4="N",((INDEX(IPop,MATCH($C$2,IInst,0))+1+SUM($E$2:Z$2))*INDEX(tblSRD[[Units/mo]:[Units/mo]],MATCH($B8,tblSRD[[Menu Item]:[Menu Item]],0)))/-28,""))),0)</f>
        <v>-30.5</v>
      </c>
      <c r="AA8" s="148">
        <f>IFERROR(IF(AA$4="U",$C8,IF(AA$4="X",0,IF(AA$4="N",((INDEX(IPop,MATCH($C$2,IInst,0))+1+SUM($E$2:AA$2))*INDEX(tblSRD[[Units/mo]:[Units/mo]],MATCH($B8,tblSRD[[Menu Item]:[Menu Item]],0)))/-28,""))),0)</f>
        <v>-30.5</v>
      </c>
      <c r="AB8" s="148">
        <f>IFERROR(IF(AB$4="U",$C8,IF(AB$4="X",0,IF(AB$4="N",((INDEX(IPop,MATCH($C$2,IInst,0))+1+SUM($E$2:AB$2))*INDEX(tblSRD[[Units/mo]:[Units/mo]],MATCH($B8,tblSRD[[Menu Item]:[Menu Item]],0)))/-28,""))),0)</f>
        <v>-30.5</v>
      </c>
      <c r="AC8" s="148">
        <f>IFERROR(IF(AC$4="U",$C8,IF(AC$4="X",0,IF(AC$4="N",((INDEX(IPop,MATCH($C$2,IInst,0))+1+SUM($E$2:AC$2))*INDEX(tblSRD[[Units/mo]:[Units/mo]],MATCH($B8,tblSRD[[Menu Item]:[Menu Item]],0)))/-28,""))),0)</f>
        <v>-30.5</v>
      </c>
      <c r="AD8" s="148">
        <f>IFERROR(IF(AD$4="U",$C8,IF(AD$4="X",0,IF(AD$4="N",((INDEX(IPop,MATCH($C$2,IInst,0))+1+SUM($E$2:AD$2))*INDEX(tblSRD[[Units/mo]:[Units/mo]],MATCH($B8,tblSRD[[Menu Item]:[Menu Item]],0)))/-28,""))),0)</f>
        <v>-30.5</v>
      </c>
      <c r="AE8" s="148">
        <f>IFERROR(IF(AE$4="U",$C8,IF(AE$4="X",0,IF(AE$4="N",((INDEX(IPop,MATCH($C$2,IInst,0))+1+SUM($E$2:AE$2))*INDEX(tblSRD[[Units/mo]:[Units/mo]],MATCH($B8,tblSRD[[Menu Item]:[Menu Item]],0)))/-28,""))),0)</f>
        <v>-30.5</v>
      </c>
      <c r="AF8" s="149">
        <f>IFERROR(IF(AF$4="U",$C8,IF(AF$4="X",0,IF(AF$4="N",((INDEX(IPop,MATCH($C$2,IInst,0))+1+SUM($E$2:AF$2))*INDEX(tblSRD[[Units/mo]:[Units/mo]],MATCH($B8,tblSRD[[Menu Item]:[Menu Item]],0)))/-28,""))),0)</f>
        <v>-30.5</v>
      </c>
      <c r="AG8" s="150">
        <f t="shared" si="2"/>
        <v>1603.5</v>
      </c>
      <c r="AH8" s="151">
        <f>IFERROR(IF(INDEX(tblSRD[Shipping?],MATCH(B8,tblSRD[Menu Item],0))="Y",ROUNDDOWN(AG8/INDEX(tblSRD[Units/cs],MATCH(B8,tblSRD[Menu Item],0)),0),""),0)</f>
        <v>8</v>
      </c>
      <c r="AI8" s="41">
        <f>IFERROR(IF(AG8&lt;0,IF(INDEX(tblSRD[Shipping?],MATCH(B8,tblSRD[Menu Item],0))="Y",ROUNDUP(AG8/INDEX(tblSRD[Units/cs],MATCH(B8,tblSRD[Menu Item],0)),0)*-1,""),0),0)</f>
        <v>0</v>
      </c>
      <c r="AJ8" s="164">
        <f>IFERROR(IF(AI8&lt;&gt;"",AI8*(INDEX(tblSRD[Units/cs],MATCH(B8,tblSRD[Menu Item],0))),""),0)</f>
        <v>0</v>
      </c>
      <c r="AK8" s="42">
        <f t="shared" si="3"/>
        <v>1603.5</v>
      </c>
      <c r="AL8" s="28"/>
      <c r="AM8" s="8"/>
      <c r="AN8" s="11"/>
      <c r="AO8" s="11"/>
      <c r="AP8" s="126" t="s">
        <v>91</v>
      </c>
      <c r="AQ8" s="127"/>
      <c r="AR8" s="128"/>
      <c r="AS8" s="128"/>
      <c r="AT8" s="128"/>
      <c r="AU8" s="128"/>
      <c r="AV8" s="128"/>
      <c r="AW8" s="128"/>
      <c r="AX8" s="129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3"/>
      <c r="BO8" s="12"/>
      <c r="BP8" s="12"/>
      <c r="BQ8" s="13"/>
      <c r="BR8" s="8"/>
      <c r="BS8" s="8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3"/>
      <c r="CW8" s="12"/>
      <c r="CX8" s="12"/>
      <c r="CY8" s="13"/>
    </row>
    <row r="9" spans="1:103" ht="12" x14ac:dyDescent="0.2">
      <c r="A9" s="190"/>
      <c r="B9" s="19" t="s">
        <v>17</v>
      </c>
      <c r="C9" s="54">
        <f>IFERROR(IF(ROUNDDOWN((INDEX(IUpdate,MATCH($B9,IMenu,0),MATCH(C$2,IInst,0))*INDEX(tblSRD[Units/cs],MATCH($B9,tblSRD[Menu Item],0))),0)&gt;0,ROUNDDOWN((INDEX(IUpdate,MATCH($B9,IMenu,0),MATCH(C$2,IInst,0))*INDEX(tblSRD[Units/cs],MATCH($B9,tblSRD[Menu Item],0))),0),0),0)</f>
        <v>8000</v>
      </c>
      <c r="D9" s="152">
        <f>IFERROR(((INDEX(IPop,MATCH($C$2,IInst,0))+1+SUM($E$2:E$2))*INDEX(tblSRD[[Units/mo]:[Units/mo]],MATCH($B9,tblSRD[[Menu Item]:[Menu Item]],0))/-28)*$D$4,0)</f>
        <v>0</v>
      </c>
      <c r="E9" s="148">
        <f>IFERROR(IF(E$4="U",$C9,IF(E$4="X",0,IF(E$4="N",((INDEX(IPop,MATCH($C$2,IInst,0))+1+SUM($E$2:E$2))*INDEX(tblSRD[[Units/mo]:[Units/mo]],MATCH($B9,tblSRD[[Menu Item]:[Menu Item]],0)))/-28,""))),0)</f>
        <v>0</v>
      </c>
      <c r="F9" s="148">
        <f>IFERROR(IF(F$4="U",$C9,IF(F$4="X",0,IF(F$4="N",((INDEX(IPop,MATCH($C$2,IInst,0))+1+SUM($E$2:F$2))*INDEX(tblSRD[[Units/mo]:[Units/mo]],MATCH($B9,tblSRD[[Menu Item]:[Menu Item]],0)))/-28,""))),0)</f>
        <v>0</v>
      </c>
      <c r="G9" s="148">
        <f>IFERROR(IF(G$4="U",$C9,IF(G$4="X",0,IF(G$4="N",((INDEX(IPop,MATCH($C$2,IInst,0))+1+SUM($E$2:G$2))*INDEX(tblSRD[[Units/mo]:[Units/mo]],MATCH($B9,tblSRD[[Menu Item]:[Menu Item]],0)))/-28,""))),0)</f>
        <v>0</v>
      </c>
      <c r="H9" s="148">
        <f>IFERROR(IF(H$4="U",$C9,IF(H$4="X",0,IF(H$4="N",((INDEX(IPop,MATCH($C$2,IInst,0))+1+SUM($E$2:H$2))*INDEX(tblSRD[[Units/mo]:[Units/mo]],MATCH($B9,tblSRD[[Menu Item]:[Menu Item]],0)))/-28,""))),0)</f>
        <v>0</v>
      </c>
      <c r="I9" s="148">
        <f>IFERROR(IF(I$4="U",$C9,IF(I$4="X",0,IF(I$4="N",((INDEX(IPop,MATCH($C$2,IInst,0))+1+SUM($E$2:I$2))*INDEX(tblSRD[[Units/mo]:[Units/mo]],MATCH($B9,tblSRD[[Menu Item]:[Menu Item]],0)))/-28,""))),0)</f>
        <v>0</v>
      </c>
      <c r="J9" s="148">
        <f>IFERROR(IF(J$4="U",$C9,IF(J$4="X",0,IF(J$4="N",((INDEX(IPop,MATCH($C$2,IInst,0))+1+SUM($E$2:J$2))*INDEX(tblSRD[[Units/mo]:[Units/mo]],MATCH($B9,tblSRD[[Menu Item]:[Menu Item]],0)))/-28,""))),0)</f>
        <v>0</v>
      </c>
      <c r="K9" s="149">
        <f>IFERROR(IF(K$4="U",$C9,IF(K$4="X",0,IF(K$4="N",((INDEX(IPop,MATCH($C$2,IInst,0))+1+SUM($E$2:K$2))*INDEX(tblSRD[[Units/mo]:[Units/mo]],MATCH($B9,tblSRD[[Menu Item]:[Menu Item]],0)))/-28,""))),0)</f>
        <v>0</v>
      </c>
      <c r="L9" s="148">
        <f>IFERROR(IF(L$4="U",$C9,IF(L$4="X",0,IF(L$4="N",((INDEX(IPop,MATCH($C$2,IInst,0))+1+SUM($E$2:L$2))*INDEX(tblSRD[[Units/mo]:[Units/mo]],MATCH($B9,tblSRD[[Menu Item]:[Menu Item]],0)))/-28,""))),0)</f>
        <v>0</v>
      </c>
      <c r="M9" s="148">
        <f>IFERROR(IF(M$4="U",$C9,IF(M$4="X",0,IF(M$4="N",((INDEX(IPop,MATCH($C$2,IInst,0))+1+SUM($E$2:M$2))*INDEX(tblSRD[[Units/mo]:[Units/mo]],MATCH($B9,tblSRD[[Menu Item]:[Menu Item]],0)))/-28,""))),0)</f>
        <v>0</v>
      </c>
      <c r="N9" s="148">
        <f>IFERROR(IF(N$4="U",$C9,IF(N$4="X",0,IF(N$4="N",((INDEX(IPop,MATCH($C$2,IInst,0))+1+SUM($E$2:N$2))*INDEX(tblSRD[[Units/mo]:[Units/mo]],MATCH($B9,tblSRD[[Menu Item]:[Menu Item]],0)))/-28,""))),0)</f>
        <v>0</v>
      </c>
      <c r="O9" s="148">
        <f>IFERROR(IF(O$4="U",$C9,IF(O$4="X",0,IF(O$4="N",((INDEX(IPop,MATCH($C$2,IInst,0))+1+SUM($E$2:O$2))*INDEX(tblSRD[[Units/mo]:[Units/mo]],MATCH($B9,tblSRD[[Menu Item]:[Menu Item]],0)))/-28,""))),0)</f>
        <v>0</v>
      </c>
      <c r="P9" s="148">
        <f>IFERROR(IF(P$4="U",$C9,IF(P$4="X",0,IF(P$4="N",((INDEX(IPop,MATCH($C$2,IInst,0))+1+SUM($E$2:P$2))*INDEX(tblSRD[[Units/mo]:[Units/mo]],MATCH($B9,tblSRD[[Menu Item]:[Menu Item]],0)))/-28,""))),0)</f>
        <v>0</v>
      </c>
      <c r="Q9" s="148">
        <f>IFERROR(IF(Q$4="U",$C9,IF(Q$4="X",0,IF(Q$4="N",((INDEX(IPop,MATCH($C$2,IInst,0))+1+SUM($E$2:Q$2))*INDEX(tblSRD[[Units/mo]:[Units/mo]],MATCH($B9,tblSRD[[Menu Item]:[Menu Item]],0)))/-28,""))),0)</f>
        <v>0</v>
      </c>
      <c r="R9" s="149">
        <f>IFERROR(IF(R$4="U",$C9,IF(R$4="X",0,IF(R$4="N",((INDEX(IPop,MATCH($C$2,IInst,0))+1+SUM($E$2:R$2))*INDEX(tblSRD[[Units/mo]:[Units/mo]],MATCH($B9,tblSRD[[Menu Item]:[Menu Item]],0)))/-28,""))),0)</f>
        <v>0</v>
      </c>
      <c r="S9" s="148">
        <f>IFERROR(IF(S$4="U",$C9,IF(S$4="X",0,IF(S$4="N",((INDEX(IPop,MATCH($C$2,IInst,0))+1+SUM($E$2:S$2))*INDEX(tblSRD[[Units/mo]:[Units/mo]],MATCH($B9,tblSRD[[Menu Item]:[Menu Item]],0)))/-28,""))),0)</f>
        <v>8000</v>
      </c>
      <c r="T9" s="148">
        <f>IFERROR(IF(T$4="U",$C9,IF(T$4="X",0,IF(T$4="N",((INDEX(IPop,MATCH($C$2,IInst,0))+1+SUM($E$2:T$2))*INDEX(tblSRD[[Units/mo]:[Units/mo]],MATCH($B9,tblSRD[[Menu Item]:[Menu Item]],0)))/-28,""))),0)</f>
        <v>-61</v>
      </c>
      <c r="U9" s="148">
        <f>IFERROR(IF(U$4="U",$C9,IF(U$4="X",0,IF(U$4="N",((INDEX(IPop,MATCH($C$2,IInst,0))+1+SUM($E$2:U$2))*INDEX(tblSRD[[Units/mo]:[Units/mo]],MATCH($B9,tblSRD[[Menu Item]:[Menu Item]],0)))/-28,""))),0)</f>
        <v>-61</v>
      </c>
      <c r="V9" s="148">
        <f>IFERROR(IF(V$4="U",$C9,IF(V$4="X",0,IF(V$4="N",((INDEX(IPop,MATCH($C$2,IInst,0))+1+SUM($E$2:V$2))*INDEX(tblSRD[[Units/mo]:[Units/mo]],MATCH($B9,tblSRD[[Menu Item]:[Menu Item]],0)))/-28,""))),0)</f>
        <v>-61</v>
      </c>
      <c r="W9" s="148">
        <f>IFERROR(IF(W$4="U",$C9,IF(W$4="X",0,IF(W$4="N",((INDEX(IPop,MATCH($C$2,IInst,0))+1+SUM($E$2:W$2))*INDEX(tblSRD[[Units/mo]:[Units/mo]],MATCH($B9,tblSRD[[Menu Item]:[Menu Item]],0)))/-28,""))),0)</f>
        <v>-61</v>
      </c>
      <c r="X9" s="148">
        <f>IFERROR(IF(X$4="U",$C9,IF(X$4="X",0,IF(X$4="N",((INDEX(IPop,MATCH($C$2,IInst,0))+1+SUM($E$2:X$2))*INDEX(tblSRD[[Units/mo]:[Units/mo]],MATCH($B9,tblSRD[[Menu Item]:[Menu Item]],0)))/-28,""))),0)</f>
        <v>-61</v>
      </c>
      <c r="Y9" s="149">
        <f>IFERROR(IF(Y$4="U",$C9,IF(Y$4="X",0,IF(Y$4="N",((INDEX(IPop,MATCH($C$2,IInst,0))+1+SUM($E$2:Y$2))*INDEX(tblSRD[[Units/mo]:[Units/mo]],MATCH($B9,tblSRD[[Menu Item]:[Menu Item]],0)))/-28,""))),0)</f>
        <v>-61</v>
      </c>
      <c r="Z9" s="148">
        <f>IFERROR(IF(Z$4="U",$C9,IF(Z$4="X",0,IF(Z$4="N",((INDEX(IPop,MATCH($C$2,IInst,0))+1+SUM($E$2:Z$2))*INDEX(tblSRD[[Units/mo]:[Units/mo]],MATCH($B9,tblSRD[[Menu Item]:[Menu Item]],0)))/-28,""))),0)</f>
        <v>-61</v>
      </c>
      <c r="AA9" s="148">
        <f>IFERROR(IF(AA$4="U",$C9,IF(AA$4="X",0,IF(AA$4="N",((INDEX(IPop,MATCH($C$2,IInst,0))+1+SUM($E$2:AA$2))*INDEX(tblSRD[[Units/mo]:[Units/mo]],MATCH($B9,tblSRD[[Menu Item]:[Menu Item]],0)))/-28,""))),0)</f>
        <v>-61</v>
      </c>
      <c r="AB9" s="148">
        <f>IFERROR(IF(AB$4="U",$C9,IF(AB$4="X",0,IF(AB$4="N",((INDEX(IPop,MATCH($C$2,IInst,0))+1+SUM($E$2:AB$2))*INDEX(tblSRD[[Units/mo]:[Units/mo]],MATCH($B9,tblSRD[[Menu Item]:[Menu Item]],0)))/-28,""))),0)</f>
        <v>-61</v>
      </c>
      <c r="AC9" s="148">
        <f>IFERROR(IF(AC$4="U",$C9,IF(AC$4="X",0,IF(AC$4="N",((INDEX(IPop,MATCH($C$2,IInst,0))+1+SUM($E$2:AC$2))*INDEX(tblSRD[[Units/mo]:[Units/mo]],MATCH($B9,tblSRD[[Menu Item]:[Menu Item]],0)))/-28,""))),0)</f>
        <v>-61</v>
      </c>
      <c r="AD9" s="148">
        <f>IFERROR(IF(AD$4="U",$C9,IF(AD$4="X",0,IF(AD$4="N",((INDEX(IPop,MATCH($C$2,IInst,0))+1+SUM($E$2:AD$2))*INDEX(tblSRD[[Units/mo]:[Units/mo]],MATCH($B9,tblSRD[[Menu Item]:[Menu Item]],0)))/-28,""))),0)</f>
        <v>-61</v>
      </c>
      <c r="AE9" s="148">
        <f>IFERROR(IF(AE$4="U",$C9,IF(AE$4="X",0,IF(AE$4="N",((INDEX(IPop,MATCH($C$2,IInst,0))+1+SUM($E$2:AE$2))*INDEX(tblSRD[[Units/mo]:[Units/mo]],MATCH($B9,tblSRD[[Menu Item]:[Menu Item]],0)))/-28,""))),0)</f>
        <v>-61</v>
      </c>
      <c r="AF9" s="149">
        <f>IFERROR(IF(AF$4="U",$C9,IF(AF$4="X",0,IF(AF$4="N",((INDEX(IPop,MATCH($C$2,IInst,0))+1+SUM($E$2:AF$2))*INDEX(tblSRD[[Units/mo]:[Units/mo]],MATCH($B9,tblSRD[[Menu Item]:[Menu Item]],0)))/-28,""))),0)</f>
        <v>-61</v>
      </c>
      <c r="AG9" s="150">
        <f t="shared" si="2"/>
        <v>7207</v>
      </c>
      <c r="AH9" s="151">
        <f>IFERROR(IF(INDEX(tblSRD[Shipping?],MATCH(B9,tblSRD[Menu Item],0))="Y",ROUNDDOWN(AG9/INDEX(tblSRD[Units/cs],MATCH(B9,tblSRD[Menu Item],0)),0),""),0)</f>
        <v>0</v>
      </c>
      <c r="AI9" s="41">
        <f>IFERROR(IF(AG9&lt;0,IF(INDEX(tblSRD[Shipping?],MATCH(B9,tblSRD[Menu Item],0))="Y",ROUNDUP(AG9/INDEX(tblSRD[Units/cs],MATCH(B9,tblSRD[Menu Item],0)),0)*-1,""),0),0)</f>
        <v>0</v>
      </c>
      <c r="AJ9" s="164">
        <f>IFERROR(IF(AI9&lt;&gt;"",AI9*(INDEX(tblSRD[Units/cs],MATCH(B9,tblSRD[Menu Item],0))),""),0)</f>
        <v>0</v>
      </c>
      <c r="AK9" s="42">
        <f t="shared" si="3"/>
        <v>7207</v>
      </c>
      <c r="AL9" s="28"/>
      <c r="AM9" s="8"/>
      <c r="AN9" s="11"/>
      <c r="AO9" s="11"/>
      <c r="AP9" s="126" t="s">
        <v>92</v>
      </c>
      <c r="AQ9" s="127"/>
      <c r="AR9" s="128"/>
      <c r="AS9" s="128"/>
      <c r="AT9" s="128"/>
      <c r="AU9" s="128"/>
      <c r="AV9" s="128"/>
      <c r="AW9" s="128"/>
      <c r="AX9" s="129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3"/>
      <c r="BO9" s="12"/>
      <c r="BP9" s="12"/>
      <c r="BQ9" s="13"/>
      <c r="BR9" s="8"/>
      <c r="BS9" s="8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3"/>
      <c r="CW9" s="12"/>
      <c r="CX9" s="12"/>
      <c r="CY9" s="13"/>
    </row>
    <row r="10" spans="1:103" ht="12.75" thickBot="1" x14ac:dyDescent="0.25">
      <c r="A10" s="191"/>
      <c r="B10" s="85" t="s">
        <v>18</v>
      </c>
      <c r="C10" s="86">
        <f>IFERROR(IF(ROUNDDOWN((INDEX(IUpdate,MATCH($B10,IMenu,0),MATCH(C$2,IInst,0))*INDEX(tblSRD[Units/cs],MATCH($B10,tblSRD[Menu Item],0))),0)&gt;0,ROUNDDOWN((INDEX(IUpdate,MATCH($B10,IMenu,0),MATCH(C$2,IInst,0))*INDEX(tblSRD[Units/cs],MATCH($B10,tblSRD[Menu Item],0))),0),0),0)</f>
        <v>3264</v>
      </c>
      <c r="D10" s="153">
        <f>IFERROR(((INDEX(IPop,MATCH($C$2,IInst,0))+1+SUM($E$2:E$2))*INDEX(tblSRD[[Units/mo]:[Units/mo]],MATCH($B10,tblSRD[[Menu Item]:[Menu Item]],0))/-28)*$D$4,0)</f>
        <v>0</v>
      </c>
      <c r="E10" s="154">
        <f>IFERROR(IF(E$4="U",$C10,IF(E$4="X",0,IF(E$4="N",((INDEX(IPop,MATCH($C$2,IInst,0))+1+SUM($E$2:E$2))*INDEX(tblSRD[[Units/mo]:[Units/mo]],MATCH($B10,tblSRD[[Menu Item]:[Menu Item]],0)))/-28,""))),0)</f>
        <v>0</v>
      </c>
      <c r="F10" s="154">
        <f>IFERROR(IF(F$4="U",$C10,IF(F$4="X",0,IF(F$4="N",((INDEX(IPop,MATCH($C$2,IInst,0))+1+SUM($E$2:F$2))*INDEX(tblSRD[[Units/mo]:[Units/mo]],MATCH($B10,tblSRD[[Menu Item]:[Menu Item]],0)))/-28,""))),0)</f>
        <v>0</v>
      </c>
      <c r="G10" s="154">
        <f>IFERROR(IF(G$4="U",$C10,IF(G$4="X",0,IF(G$4="N",((INDEX(IPop,MATCH($C$2,IInst,0))+1+SUM($E$2:G$2))*INDEX(tblSRD[[Units/mo]:[Units/mo]],MATCH($B10,tblSRD[[Menu Item]:[Menu Item]],0)))/-28,""))),0)</f>
        <v>0</v>
      </c>
      <c r="H10" s="154">
        <f>IFERROR(IF(H$4="U",$C10,IF(H$4="X",0,IF(H$4="N",((INDEX(IPop,MATCH($C$2,IInst,0))+1+SUM($E$2:H$2))*INDEX(tblSRD[[Units/mo]:[Units/mo]],MATCH($B10,tblSRD[[Menu Item]:[Menu Item]],0)))/-28,""))),0)</f>
        <v>0</v>
      </c>
      <c r="I10" s="154">
        <f>IFERROR(IF(I$4="U",$C10,IF(I$4="X",0,IF(I$4="N",((INDEX(IPop,MATCH($C$2,IInst,0))+1+SUM($E$2:I$2))*INDEX(tblSRD[[Units/mo]:[Units/mo]],MATCH($B10,tblSRD[[Menu Item]:[Menu Item]],0)))/-28,""))),0)</f>
        <v>0</v>
      </c>
      <c r="J10" s="154">
        <f>IFERROR(IF(J$4="U",$C10,IF(J$4="X",0,IF(J$4="N",((INDEX(IPop,MATCH($C$2,IInst,0))+1+SUM($E$2:J$2))*INDEX(tblSRD[[Units/mo]:[Units/mo]],MATCH($B10,tblSRD[[Menu Item]:[Menu Item]],0)))/-28,""))),0)</f>
        <v>0</v>
      </c>
      <c r="K10" s="155">
        <f>IFERROR(IF(K$4="U",$C10,IF(K$4="X",0,IF(K$4="N",((INDEX(IPop,MATCH($C$2,IInst,0))+1+SUM($E$2:K$2))*INDEX(tblSRD[[Units/mo]:[Units/mo]],MATCH($B10,tblSRD[[Menu Item]:[Menu Item]],0)))/-28,""))),0)</f>
        <v>0</v>
      </c>
      <c r="L10" s="154">
        <f>IFERROR(IF(L$4="U",$C10,IF(L$4="X",0,IF(L$4="N",((INDEX(IPop,MATCH($C$2,IInst,0))+1+SUM($E$2:L$2))*INDEX(tblSRD[[Units/mo]:[Units/mo]],MATCH($B10,tblSRD[[Menu Item]:[Menu Item]],0)))/-28,""))),0)</f>
        <v>0</v>
      </c>
      <c r="M10" s="154">
        <f>IFERROR(IF(M$4="U",$C10,IF(M$4="X",0,IF(M$4="N",((INDEX(IPop,MATCH($C$2,IInst,0))+1+SUM($E$2:M$2))*INDEX(tblSRD[[Units/mo]:[Units/mo]],MATCH($B10,tblSRD[[Menu Item]:[Menu Item]],0)))/-28,""))),0)</f>
        <v>0</v>
      </c>
      <c r="N10" s="154">
        <f>IFERROR(IF(N$4="U",$C10,IF(N$4="X",0,IF(N$4="N",((INDEX(IPop,MATCH($C$2,IInst,0))+1+SUM($E$2:N$2))*INDEX(tblSRD[[Units/mo]:[Units/mo]],MATCH($B10,tblSRD[[Menu Item]:[Menu Item]],0)))/-28,""))),0)</f>
        <v>0</v>
      </c>
      <c r="O10" s="154">
        <f>IFERROR(IF(O$4="U",$C10,IF(O$4="X",0,IF(O$4="N",((INDEX(IPop,MATCH($C$2,IInst,0))+1+SUM($E$2:O$2))*INDEX(tblSRD[[Units/mo]:[Units/mo]],MATCH($B10,tblSRD[[Menu Item]:[Menu Item]],0)))/-28,""))),0)</f>
        <v>0</v>
      </c>
      <c r="P10" s="154">
        <f>IFERROR(IF(P$4="U",$C10,IF(P$4="X",0,IF(P$4="N",((INDEX(IPop,MATCH($C$2,IInst,0))+1+SUM($E$2:P$2))*INDEX(tblSRD[[Units/mo]:[Units/mo]],MATCH($B10,tblSRD[[Menu Item]:[Menu Item]],0)))/-28,""))),0)</f>
        <v>0</v>
      </c>
      <c r="Q10" s="154">
        <f>IFERROR(IF(Q$4="U",$C10,IF(Q$4="X",0,IF(Q$4="N",((INDEX(IPop,MATCH($C$2,IInst,0))+1+SUM($E$2:Q$2))*INDEX(tblSRD[[Units/mo]:[Units/mo]],MATCH($B10,tblSRD[[Menu Item]:[Menu Item]],0)))/-28,""))),0)</f>
        <v>0</v>
      </c>
      <c r="R10" s="155">
        <f>IFERROR(IF(R$4="U",$C10,IF(R$4="X",0,IF(R$4="N",((INDEX(IPop,MATCH($C$2,IInst,0))+1+SUM($E$2:R$2))*INDEX(tblSRD[[Units/mo]:[Units/mo]],MATCH($B10,tblSRD[[Menu Item]:[Menu Item]],0)))/-28,""))),0)</f>
        <v>0</v>
      </c>
      <c r="S10" s="154">
        <f>IFERROR(IF(S$4="U",$C10,IF(S$4="X",0,IF(S$4="N",((INDEX(IPop,MATCH($C$2,IInst,0))+1+SUM($E$2:S$2))*INDEX(tblSRD[[Units/mo]:[Units/mo]],MATCH($B10,tblSRD[[Menu Item]:[Menu Item]],0)))/-28,""))),0)</f>
        <v>3264</v>
      </c>
      <c r="T10" s="154">
        <f>IFERROR(IF(T$4="U",$C10,IF(T$4="X",0,IF(T$4="N",((INDEX(IPop,MATCH($C$2,IInst,0))+1+SUM($E$2:T$2))*INDEX(tblSRD[[Units/mo]:[Units/mo]],MATCH($B10,tblSRD[[Menu Item]:[Menu Item]],0)))/-28,""))),0)</f>
        <v>-78.428571428571431</v>
      </c>
      <c r="U10" s="154">
        <f>IFERROR(IF(U$4="U",$C10,IF(U$4="X",0,IF(U$4="N",((INDEX(IPop,MATCH($C$2,IInst,0))+1+SUM($E$2:U$2))*INDEX(tblSRD[[Units/mo]:[Units/mo]],MATCH($B10,tblSRD[[Menu Item]:[Menu Item]],0)))/-28,""))),0)</f>
        <v>-78.428571428571431</v>
      </c>
      <c r="V10" s="154">
        <f>IFERROR(IF(V$4="U",$C10,IF(V$4="X",0,IF(V$4="N",((INDEX(IPop,MATCH($C$2,IInst,0))+1+SUM($E$2:V$2))*INDEX(tblSRD[[Units/mo]:[Units/mo]],MATCH($B10,tblSRD[[Menu Item]:[Menu Item]],0)))/-28,""))),0)</f>
        <v>-78.428571428571431</v>
      </c>
      <c r="W10" s="154">
        <f>IFERROR(IF(W$4="U",$C10,IF(W$4="X",0,IF(W$4="N",((INDEX(IPop,MATCH($C$2,IInst,0))+1+SUM($E$2:W$2))*INDEX(tblSRD[[Units/mo]:[Units/mo]],MATCH($B10,tblSRD[[Menu Item]:[Menu Item]],0)))/-28,""))),0)</f>
        <v>-78.428571428571431</v>
      </c>
      <c r="X10" s="154">
        <f>IFERROR(IF(X$4="U",$C10,IF(X$4="X",0,IF(X$4="N",((INDEX(IPop,MATCH($C$2,IInst,0))+1+SUM($E$2:X$2))*INDEX(tblSRD[[Units/mo]:[Units/mo]],MATCH($B10,tblSRD[[Menu Item]:[Menu Item]],0)))/-28,""))),0)</f>
        <v>-78.428571428571431</v>
      </c>
      <c r="Y10" s="155">
        <f>IFERROR(IF(Y$4="U",$C10,IF(Y$4="X",0,IF(Y$4="N",((INDEX(IPop,MATCH($C$2,IInst,0))+1+SUM($E$2:Y$2))*INDEX(tblSRD[[Units/mo]:[Units/mo]],MATCH($B10,tblSRD[[Menu Item]:[Menu Item]],0)))/-28,""))),0)</f>
        <v>-78.428571428571431</v>
      </c>
      <c r="Z10" s="154">
        <f>IFERROR(IF(Z$4="U",$C10,IF(Z$4="X",0,IF(Z$4="N",((INDEX(IPop,MATCH($C$2,IInst,0))+1+SUM($E$2:Z$2))*INDEX(tblSRD[[Units/mo]:[Units/mo]],MATCH($B10,tblSRD[[Menu Item]:[Menu Item]],0)))/-28,""))),0)</f>
        <v>-78.428571428571431</v>
      </c>
      <c r="AA10" s="154">
        <f>IFERROR(IF(AA$4="U",$C10,IF(AA$4="X",0,IF(AA$4="N",((INDEX(IPop,MATCH($C$2,IInst,0))+1+SUM($E$2:AA$2))*INDEX(tblSRD[[Units/mo]:[Units/mo]],MATCH($B10,tblSRD[[Menu Item]:[Menu Item]],0)))/-28,""))),0)</f>
        <v>-78.428571428571431</v>
      </c>
      <c r="AB10" s="154">
        <f>IFERROR(IF(AB$4="U",$C10,IF(AB$4="X",0,IF(AB$4="N",((INDEX(IPop,MATCH($C$2,IInst,0))+1+SUM($E$2:AB$2))*INDEX(tblSRD[[Units/mo]:[Units/mo]],MATCH($B10,tblSRD[[Menu Item]:[Menu Item]],0)))/-28,""))),0)</f>
        <v>-78.428571428571431</v>
      </c>
      <c r="AC10" s="154">
        <f>IFERROR(IF(AC$4="U",$C10,IF(AC$4="X",0,IF(AC$4="N",((INDEX(IPop,MATCH($C$2,IInst,0))+1+SUM($E$2:AC$2))*INDEX(tblSRD[[Units/mo]:[Units/mo]],MATCH($B10,tblSRD[[Menu Item]:[Menu Item]],0)))/-28,""))),0)</f>
        <v>-78.428571428571431</v>
      </c>
      <c r="AD10" s="154">
        <f>IFERROR(IF(AD$4="U",$C10,IF(AD$4="X",0,IF(AD$4="N",((INDEX(IPop,MATCH($C$2,IInst,0))+1+SUM($E$2:AD$2))*INDEX(tblSRD[[Units/mo]:[Units/mo]],MATCH($B10,tblSRD[[Menu Item]:[Menu Item]],0)))/-28,""))),0)</f>
        <v>-78.428571428571431</v>
      </c>
      <c r="AE10" s="154">
        <f>IFERROR(IF(AE$4="U",$C10,IF(AE$4="X",0,IF(AE$4="N",((INDEX(IPop,MATCH($C$2,IInst,0))+1+SUM($E$2:AE$2))*INDEX(tblSRD[[Units/mo]:[Units/mo]],MATCH($B10,tblSRD[[Menu Item]:[Menu Item]],0)))/-28,""))),0)</f>
        <v>-78.428571428571431</v>
      </c>
      <c r="AF10" s="155">
        <f>IFERROR(IF(AF$4="U",$C10,IF(AF$4="X",0,IF(AF$4="N",((INDEX(IPop,MATCH($C$2,IInst,0))+1+SUM($E$2:AF$2))*INDEX(tblSRD[[Units/mo]:[Units/mo]],MATCH($B10,tblSRD[[Menu Item]:[Menu Item]],0)))/-28,""))),0)</f>
        <v>-78.428571428571431</v>
      </c>
      <c r="AG10" s="156">
        <f t="shared" si="2"/>
        <v>2244.4285714285697</v>
      </c>
      <c r="AH10" s="151">
        <f>IFERROR(IF(INDEX(tblSRD[Shipping?],MATCH(B10,tblSRD[Menu Item],0))="Y",ROUNDDOWN(AG10/INDEX(tblSRD[Units/cs],MATCH(B10,tblSRD[Menu Item],0)),0),""),0)</f>
        <v>11</v>
      </c>
      <c r="AI10" s="61">
        <f>IFERROR(IF(AG10&lt;0,IF(INDEX(tblSRD[Shipping?],MATCH(B10,tblSRD[Menu Item],0))="Y",ROUNDUP(AG10/INDEX(tblSRD[Units/cs],MATCH(B10,tblSRD[Menu Item],0)),0)*-1,""),0),0)</f>
        <v>0</v>
      </c>
      <c r="AJ10" s="165">
        <f>IFERROR(IF(AI10&lt;&gt;"",AI10*(INDEX(tblSRD[Units/cs],MATCH(B10,tblSRD[Menu Item],0))),""),0)</f>
        <v>0</v>
      </c>
      <c r="AK10" s="60">
        <f t="shared" si="3"/>
        <v>2244.4285714285697</v>
      </c>
      <c r="AL10" s="28"/>
      <c r="AM10" s="8"/>
      <c r="AN10" s="11"/>
      <c r="AO10" s="11"/>
      <c r="AP10" s="130" t="s">
        <v>93</v>
      </c>
      <c r="AQ10" s="131"/>
      <c r="AR10" s="132"/>
      <c r="AS10" s="132"/>
      <c r="AT10" s="132"/>
      <c r="AU10" s="132"/>
      <c r="AV10" s="132"/>
      <c r="AW10" s="132"/>
      <c r="AX10" s="133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3"/>
      <c r="BO10" s="12"/>
      <c r="BP10" s="12"/>
      <c r="BQ10" s="13"/>
      <c r="BR10" s="8"/>
      <c r="BS10" s="8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3"/>
      <c r="CW10" s="12"/>
      <c r="CX10" s="12"/>
      <c r="CY10" s="13"/>
    </row>
    <row r="11" spans="1:103" ht="9" customHeight="1" x14ac:dyDescent="0.2">
      <c r="A11" s="189" t="s">
        <v>75</v>
      </c>
      <c r="B11" s="87" t="s">
        <v>19</v>
      </c>
      <c r="C11" s="88">
        <f>IFERROR(IF(ROUNDDOWN((INDEX(IUpdate,MATCH($B11,IMenu,0),MATCH(C$2,IInst,0))*INDEX(tblSRD[Units/cs],MATCH($B11,tblSRD[Menu Item],0))),0)&gt;0,ROUNDDOWN((INDEX(IUpdate,MATCH($B11,IMenu,0),MATCH(C$2,IInst,0))*INDEX(tblSRD[Units/cs],MATCH($B11,tblSRD[Menu Item],0))),0),0),0)</f>
        <v>312</v>
      </c>
      <c r="D11" s="192">
        <f>(((INDEX(IPop,MATCH($C$2,IInst,0))+1+SUM($E$2:E$2))*10)/-28)*$D$4</f>
        <v>0</v>
      </c>
      <c r="E11" s="186">
        <f>IF(E$4="U",SUM($C$11:$C$20),IF(E$4="X",0,IF(E$4="N",((INDEX(IPop,MATCH($C$2,IInst,0))+1+SUM($E$2:E$2))*10)/-28,"")))</f>
        <v>0</v>
      </c>
      <c r="F11" s="170">
        <f>IF(F$4="U",SUM($C$11:$C$20),IF(F$4="X",0,IF(F$4="N",((INDEX(IPop,MATCH($C$2,IInst,0))+1+SUM($E$2:F$2))*10)/-28,"")))</f>
        <v>0</v>
      </c>
      <c r="G11" s="170">
        <f>IF(G$4="U",SUM($C$11:$C$20),IF(G$4="X",0,IF(G$4="N",((INDEX(IPop,MATCH($C$2,IInst,0))+1+SUM($E$2:G$2))*10)/-28,"")))</f>
        <v>0</v>
      </c>
      <c r="H11" s="170">
        <f>IF(H$4="U",SUM($C$11:$C$20),IF(H$4="X",0,IF(H$4="N",((INDEX(IPop,MATCH($C$2,IInst,0))+1+SUM($E$2:H$2))*10)/-28,"")))</f>
        <v>0</v>
      </c>
      <c r="I11" s="170">
        <f>IF(I$4="U",SUM($C$11:$C$20),IF(I$4="X",0,IF(I$4="N",((INDEX(IPop,MATCH($C$2,IInst,0))+1+SUM($E$2:I$2))*10)/-28,"")))</f>
        <v>0</v>
      </c>
      <c r="J11" s="170">
        <f>IF(J$4="U",SUM($C$11:$C$20),IF(J$4="X",0,IF(J$4="N",((INDEX(IPop,MATCH($C$2,IInst,0))+1+SUM($E$2:J$2))*10)/-28,"")))</f>
        <v>0</v>
      </c>
      <c r="K11" s="174">
        <f>IF(K$4="U",SUM($C$11:$C$20),IF(K$4="X",0,IF(K$4="N",((INDEX(IPop,MATCH($C$2,IInst,0))+1+SUM($E$2:K$2))*10)/-28,"")))</f>
        <v>0</v>
      </c>
      <c r="L11" s="170">
        <f>IF(L$4="U",SUM($C$11:$C$20),IF(L$4="X",0,IF(L$4="N",((INDEX(IPop,MATCH($C$2,IInst,0))+1+SUM($E$2:L$2))*10)/-28,"")))</f>
        <v>0</v>
      </c>
      <c r="M11" s="170">
        <f>IF(M$4="U",SUM($C$11:$C$20),IF(M$4="X",0,IF(M$4="N",((INDEX(IPop,MATCH($C$2,IInst,0))+1+SUM($E$2:M$2))*10)/-28,"")))</f>
        <v>0</v>
      </c>
      <c r="N11" s="170">
        <f>IF(N$4="U",SUM($C$11:$C$20),IF(N$4="X",0,IF(N$4="N",((INDEX(IPop,MATCH($C$2,IInst,0))+1+SUM($E$2:N$2))*10)/-28,"")))</f>
        <v>0</v>
      </c>
      <c r="O11" s="170">
        <f>IF(O$4="U",SUM($C$11:$C$20),IF(O$4="X",0,IF(O$4="N",((INDEX(IPop,MATCH($C$2,IInst,0))+1+SUM($E$2:O$2))*10)/-28,"")))</f>
        <v>0</v>
      </c>
      <c r="P11" s="170">
        <f>IF(P$4="U",SUM($C$11:$C$20),IF(P$4="X",0,IF(P$4="N",((INDEX(IPop,MATCH($C$2,IInst,0))+1+SUM($E$2:P$2))*10)/-28,"")))</f>
        <v>0</v>
      </c>
      <c r="Q11" s="170">
        <f>IF(Q$4="U",SUM($C$11:$C$20),IF(Q$4="X",0,IF(Q$4="N",((INDEX(IPop,MATCH($C$2,IInst,0))+1+SUM($E$2:Q$2))*10)/-28,"")))</f>
        <v>0</v>
      </c>
      <c r="R11" s="174">
        <f>IF(R$4="U",SUM($C$11:$C$20),IF(R$4="X",0,IF(R$4="N",((INDEX(IPop,MATCH($C$2,IInst,0))+1+SUM($E$2:R$2))*10)/-28,"")))</f>
        <v>0</v>
      </c>
      <c r="S11" s="170">
        <f>IF(S$4="U",SUM($C$11:$C$20),IF(S$4="X",0,IF(S$4="N",((INDEX(IPop,MATCH($C$2,IInst,0))+1+SUM($E$2:S$2))*10)/-28,"")))</f>
        <v>2439</v>
      </c>
      <c r="T11" s="170">
        <f>IF(T$4="U",SUM($C$11:$C$20),IF(T$4="X",0,IF(T$4="N",((INDEX(IPop,MATCH($C$2,IInst,0))+1+SUM($E$2:T$2))*10)/-28,"")))</f>
        <v>-21.785714285714285</v>
      </c>
      <c r="U11" s="170">
        <f>IF(U$4="U",SUM($C$11:$C$20),IF(U$4="X",0,IF(U$4="N",((INDEX(IPop,MATCH($C$2,IInst,0))+1+SUM($E$2:U$2))*10)/-28,"")))</f>
        <v>-21.785714285714285</v>
      </c>
      <c r="V11" s="170">
        <f>IF(V$4="U",SUM($C$11:$C$20),IF(V$4="X",0,IF(V$4="N",((INDEX(IPop,MATCH($C$2,IInst,0))+1+SUM($E$2:V$2))*10)/-28,"")))</f>
        <v>-21.785714285714285</v>
      </c>
      <c r="W11" s="170">
        <f>IF(W$4="U",SUM($C$11:$C$20),IF(W$4="X",0,IF(W$4="N",((INDEX(IPop,MATCH($C$2,IInst,0))+1+SUM($E$2:W$2))*10)/-28,"")))</f>
        <v>-21.785714285714285</v>
      </c>
      <c r="X11" s="170">
        <f>IF(X$4="U",SUM($C$11:$C$20),IF(X$4="X",0,IF(X$4="N",((INDEX(IPop,MATCH($C$2,IInst,0))+1+SUM($E$2:X$2))*10)/-28,"")))</f>
        <v>-21.785714285714285</v>
      </c>
      <c r="Y11" s="174">
        <f>IF(Y$4="U",SUM($C$11:$C$20),IF(Y$4="X",0,IF(Y$4="N",((INDEX(IPop,MATCH($C$2,IInst,0))+1+SUM($E$2:Y$2))*10)/-28,"")))</f>
        <v>-21.785714285714285</v>
      </c>
      <c r="Z11" s="170">
        <f>IF(Z$4="U",SUM($C$11:$C$20),IF(Z$4="X",0,IF(Z$4="N",((INDEX(IPop,MATCH($C$2,IInst,0))+1+SUM($E$2:Z$2))*10)/-28,"")))</f>
        <v>-21.785714285714285</v>
      </c>
      <c r="AA11" s="170">
        <f>IF(AA$4="U",SUM($C$11:$C$20),IF(AA$4="X",0,IF(AA$4="N",((INDEX(IPop,MATCH($C$2,IInst,0))+1+SUM($E$2:AA$2))*10)/-28,"")))</f>
        <v>-21.785714285714285</v>
      </c>
      <c r="AB11" s="170">
        <f>IF(AB$4="U",SUM($C$11:$C$20),IF(AB$4="X",0,IF(AB$4="N",((INDEX(IPop,MATCH($C$2,IInst,0))+1+SUM($E$2:AB$2))*10)/-28,"")))</f>
        <v>-21.785714285714285</v>
      </c>
      <c r="AC11" s="170">
        <f>IF(AC$4="U",SUM($C$11:$C$20),IF(AC$4="X",0,IF(AC$4="N",((INDEX(IPop,MATCH($C$2,IInst,0))+1+SUM($E$2:AC$2))*10)/-28,"")))</f>
        <v>-21.785714285714285</v>
      </c>
      <c r="AD11" s="170">
        <f>IF(AD$4="U",SUM($C$11:$C$20),IF(AD$4="X",0,IF(AD$4="N",((INDEX(IPop,MATCH($C$2,IInst,0))+1+SUM($E$2:AD$2))*10)/-28,"")))</f>
        <v>-21.785714285714285</v>
      </c>
      <c r="AE11" s="170">
        <f>IF(AE$4="U",SUM($C$11:$C$20),IF(AE$4="X",0,IF(AE$4="N",((INDEX(IPop,MATCH($C$2,IInst,0))+1+SUM($E$2:AE$2))*10)/-28,"")))</f>
        <v>-21.785714285714285</v>
      </c>
      <c r="AF11" s="174">
        <f>IF(AF$4="U",SUM($C$11:$C$20),IF(AF$4="X",0,IF(AF$4="N",((INDEX(IPop,MATCH($C$2,IInst,0))+1+SUM($E$2:AF$2))*10)/-28,"")))</f>
        <v>-21.785714285714285</v>
      </c>
      <c r="AG11" s="181">
        <f>IF($B$2&gt;$B$4,SUM(C11:AF20),SUM(E11:AF20))</f>
        <v>2155.7857142857151</v>
      </c>
      <c r="AH11" s="157" t="str">
        <f>IFERROR(IF(INDEX(tblSRD[Shipping?],MATCH(B11,tblSRD[Menu Item],0))="Y",ROUNDDOWN($AG$11/INDEX(tblSRD[Units/cs],MATCH(B11,tblSRD[Menu Item],0)),0)*INDEX(tblSRD[Pct],MATCH(B11,tblSRD[Menu Item],0)),""),0)</f>
        <v/>
      </c>
      <c r="AI11" s="41">
        <f>IFERROR(IF($AG$11&lt;0,IF(INDEX(tblSRD[Shipping?],MATCH(B11,tblSRD[Menu Item],0))="Y",ROUNDUP((ROUNDUP($AG$11/INDEX(tblSRD[Units/cs],MATCH(B11,tblSRD[Menu Item],0)),0)*-1)*INDEX(tblSRD[Pct],MATCH(B11,tblSRD[Menu Item],0)),0),""),0),0)</f>
        <v>0</v>
      </c>
      <c r="AJ11" s="166">
        <f>IFERROR(IF(AI11&lt;&gt;"",AI11*(INDEX(tblSRD[Units/cs],MATCH(B11,tblSRD[Menu Item],0))),""),0)</f>
        <v>0</v>
      </c>
      <c r="AK11" s="177">
        <f>IFERROR(IF(SUM(AI11:AI20)&lt;&gt;0,SUM(AJ11:AJ20)+AG11,0),"")</f>
        <v>0</v>
      </c>
      <c r="AL11" s="28"/>
      <c r="AM11" s="8"/>
      <c r="AN11" s="11"/>
      <c r="AO11" s="11"/>
      <c r="AP11" s="11"/>
      <c r="AQ11" s="13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3"/>
      <c r="BO11" s="12"/>
      <c r="BP11" s="12"/>
      <c r="BQ11" s="13"/>
      <c r="BR11" s="8"/>
      <c r="BS11" s="8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3"/>
      <c r="CW11" s="12"/>
      <c r="CX11" s="12"/>
      <c r="CY11" s="13"/>
    </row>
    <row r="12" spans="1:103" ht="9" customHeight="1" x14ac:dyDescent="0.2">
      <c r="A12" s="190"/>
      <c r="B12" s="19" t="s">
        <v>21</v>
      </c>
      <c r="C12" s="54">
        <f>IFERROR(IF(ROUNDDOWN((INDEX(IUpdate,MATCH($B12,IMenu,0),MATCH(C$2,IInst,0))*INDEX(tblSRD[Units/cs],MATCH($B12,tblSRD[Menu Item],0))),0)&gt;0,ROUNDDOWN((INDEX(IUpdate,MATCH($B12,IMenu,0),MATCH(C$2,IInst,0))*INDEX(tblSRD[Units/cs],MATCH($B12,tblSRD[Menu Item],0))),0),0),0)</f>
        <v>372</v>
      </c>
      <c r="D12" s="193"/>
      <c r="E12" s="187"/>
      <c r="F12" s="171"/>
      <c r="G12" s="171"/>
      <c r="H12" s="171"/>
      <c r="I12" s="171"/>
      <c r="J12" s="171"/>
      <c r="K12" s="175"/>
      <c r="L12" s="171"/>
      <c r="M12" s="171"/>
      <c r="N12" s="171"/>
      <c r="O12" s="171"/>
      <c r="P12" s="171"/>
      <c r="Q12" s="171"/>
      <c r="R12" s="175"/>
      <c r="S12" s="171"/>
      <c r="T12" s="171"/>
      <c r="U12" s="171"/>
      <c r="V12" s="171"/>
      <c r="W12" s="171"/>
      <c r="X12" s="171"/>
      <c r="Y12" s="175"/>
      <c r="Z12" s="171"/>
      <c r="AA12" s="171"/>
      <c r="AB12" s="171"/>
      <c r="AC12" s="171"/>
      <c r="AD12" s="171"/>
      <c r="AE12" s="171"/>
      <c r="AF12" s="175"/>
      <c r="AG12" s="182"/>
      <c r="AH12" s="158" t="str">
        <f>IFERROR(IF(INDEX(tblSRD[Shipping?],MATCH(B12,tblSRD[Menu Item],0))="Y",ROUNDDOWN($AG$11/INDEX(tblSRD[Units/cs],MATCH(B12,tblSRD[Menu Item],0)),0)*INDEX(tblSRD[Pct],MATCH(B12,tblSRD[Menu Item],0)),""),0)</f>
        <v/>
      </c>
      <c r="AI12" s="41">
        <f>IFERROR(IF($AG$11&lt;0,IF(INDEX(tblSRD[Shipping?],MATCH(B12,tblSRD[Menu Item],0))="Y",ROUNDUP((ROUNDUP($AG$11/INDEX(tblSRD[Units/cs],MATCH(B12,tblSRD[Menu Item],0)),0)*-1)*INDEX(tblSRD[Pct],MATCH(B12,tblSRD[Menu Item],0)),0),""),0),0)</f>
        <v>0</v>
      </c>
      <c r="AJ12" s="166">
        <f>IFERROR(IF(AI12&lt;&gt;"",AI12*(INDEX(tblSRD[Units/cs],MATCH(B12,tblSRD[Menu Item],0))),""),0)</f>
        <v>0</v>
      </c>
      <c r="AK12" s="178"/>
      <c r="AL12" s="28"/>
      <c r="AM12" s="8"/>
      <c r="AN12" s="11"/>
      <c r="AO12" s="11"/>
      <c r="AP12" s="11"/>
      <c r="AQ12" s="13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3"/>
      <c r="BO12" s="12"/>
      <c r="BP12" s="12"/>
      <c r="BQ12" s="13"/>
      <c r="BR12" s="8"/>
      <c r="BS12" s="8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3"/>
      <c r="CW12" s="12"/>
      <c r="CX12" s="12"/>
      <c r="CY12" s="13"/>
    </row>
    <row r="13" spans="1:103" ht="9" customHeight="1" x14ac:dyDescent="0.2">
      <c r="A13" s="190"/>
      <c r="B13" s="19" t="s">
        <v>58</v>
      </c>
      <c r="C13" s="54">
        <f>IFERROR(IF(ROUNDDOWN((INDEX(IUpdate,MATCH($B13,IMenu,0),MATCH(C$2,IInst,0))*INDEX(tblSRD[Units/cs],MATCH($B13,tblSRD[Menu Item],0))),0)&gt;0,ROUNDDOWN((INDEX(IUpdate,MATCH($B13,IMenu,0),MATCH(C$2,IInst,0))*INDEX(tblSRD[Units/cs],MATCH($B13,tblSRD[Menu Item],0))),0),0),0)</f>
        <v>0</v>
      </c>
      <c r="D13" s="193"/>
      <c r="E13" s="187"/>
      <c r="F13" s="171"/>
      <c r="G13" s="171"/>
      <c r="H13" s="171"/>
      <c r="I13" s="171"/>
      <c r="J13" s="171"/>
      <c r="K13" s="175"/>
      <c r="L13" s="171"/>
      <c r="M13" s="171"/>
      <c r="N13" s="171"/>
      <c r="O13" s="171"/>
      <c r="P13" s="171"/>
      <c r="Q13" s="171"/>
      <c r="R13" s="175"/>
      <c r="S13" s="171"/>
      <c r="T13" s="171"/>
      <c r="U13" s="171"/>
      <c r="V13" s="171"/>
      <c r="W13" s="171"/>
      <c r="X13" s="171"/>
      <c r="Y13" s="175"/>
      <c r="Z13" s="171"/>
      <c r="AA13" s="171"/>
      <c r="AB13" s="171"/>
      <c r="AC13" s="171"/>
      <c r="AD13" s="171"/>
      <c r="AE13" s="171"/>
      <c r="AF13" s="175"/>
      <c r="AG13" s="182"/>
      <c r="AH13" s="158">
        <f>IFERROR(IF(INDEX(tblSRD[Shipping?],MATCH(B13,tblSRD[Menu Item],0))="Y",ROUNDDOWN($AG$11/INDEX(tblSRD[Units/cs],MATCH(B13,tblSRD[Menu Item],0)),0)*INDEX(tblSRD[Pct],MATCH(B13,tblSRD[Menu Item],0)),""),0)</f>
        <v>16.125</v>
      </c>
      <c r="AI13" s="41">
        <f>IFERROR(IF($AG$11&lt;0,IF(INDEX(tblSRD[Shipping?],MATCH(B13,tblSRD[Menu Item],0))="Y",ROUNDUP((ROUNDUP($AG$11/INDEX(tblSRD[Units/cs],MATCH(B13,tblSRD[Menu Item],0)),0)*-1)*INDEX(tblSRD[Pct],MATCH(B13,tblSRD[Menu Item],0)),0),""),0),0)</f>
        <v>0</v>
      </c>
      <c r="AJ13" s="166">
        <f>IFERROR(IF(AI13&lt;&gt;"",AI13*(INDEX(tblSRD[Units/cs],MATCH(B13,tblSRD[Menu Item],0))),""),0)</f>
        <v>0</v>
      </c>
      <c r="AK13" s="178"/>
      <c r="AL13" s="28"/>
      <c r="AM13" s="8"/>
      <c r="AN13" s="11"/>
      <c r="AO13" s="11"/>
      <c r="AP13" s="11"/>
      <c r="AQ13" s="13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3"/>
      <c r="BO13" s="12"/>
      <c r="BP13" s="12"/>
      <c r="BQ13" s="13"/>
      <c r="BR13" s="8"/>
      <c r="BS13" s="8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3"/>
      <c r="CW13" s="12"/>
      <c r="CX13" s="12"/>
      <c r="CY13" s="13"/>
    </row>
    <row r="14" spans="1:103" ht="9" customHeight="1" x14ac:dyDescent="0.2">
      <c r="A14" s="190"/>
      <c r="B14" s="19" t="s">
        <v>70</v>
      </c>
      <c r="C14" s="54">
        <f>IFERROR(IF(ROUNDDOWN((INDEX(IUpdate,MATCH($B14,IMenu,0),MATCH(C$2,IInst,0))*INDEX(tblSRD[Units/cs],MATCH($B14,tblSRD[Menu Item],0))),0)&gt;0,ROUNDDOWN((INDEX(IUpdate,MATCH($B14,IMenu,0),MATCH(C$2,IInst,0))*INDEX(tblSRD[Units/cs],MATCH($B14,tblSRD[Menu Item],0))),0),0),0)</f>
        <v>0</v>
      </c>
      <c r="D14" s="193"/>
      <c r="E14" s="187"/>
      <c r="F14" s="171"/>
      <c r="G14" s="171"/>
      <c r="H14" s="171"/>
      <c r="I14" s="171"/>
      <c r="J14" s="171"/>
      <c r="K14" s="175"/>
      <c r="L14" s="171"/>
      <c r="M14" s="171"/>
      <c r="N14" s="171"/>
      <c r="O14" s="171"/>
      <c r="P14" s="171"/>
      <c r="Q14" s="171"/>
      <c r="R14" s="175"/>
      <c r="S14" s="171"/>
      <c r="T14" s="171"/>
      <c r="U14" s="171"/>
      <c r="V14" s="171"/>
      <c r="W14" s="171"/>
      <c r="X14" s="171"/>
      <c r="Y14" s="175"/>
      <c r="Z14" s="171"/>
      <c r="AA14" s="171"/>
      <c r="AB14" s="171"/>
      <c r="AC14" s="171"/>
      <c r="AD14" s="171"/>
      <c r="AE14" s="171"/>
      <c r="AF14" s="175"/>
      <c r="AG14" s="182"/>
      <c r="AH14" s="158">
        <f>IFERROR(IF(INDEX(tblSRD[Shipping?],MATCH(B14,tblSRD[Menu Item],0))="Y",ROUNDDOWN($AG$11/INDEX(tblSRD[Units/cs],MATCH(B14,tblSRD[Menu Item],0)),0)*INDEX(tblSRD[Pct],MATCH(B14,tblSRD[Menu Item],0)),""),0)</f>
        <v>3.75</v>
      </c>
      <c r="AI14" s="41">
        <f>IFERROR(IF($AG$11&lt;0,IF(INDEX(tblSRD[Shipping?],MATCH(B14,tblSRD[Menu Item],0))="Y",ROUNDUP((ROUNDUP($AG$11/INDEX(tblSRD[Units/cs],MATCH(B14,tblSRD[Menu Item],0)),0)*-1)*INDEX(tblSRD[Pct],MATCH(B14,tblSRD[Menu Item],0)),0),""),0),0)</f>
        <v>0</v>
      </c>
      <c r="AJ14" s="166">
        <f>IFERROR(IF(AI14&lt;&gt;"",AI14*(INDEX(tblSRD[Units/cs],MATCH(B14,tblSRD[Menu Item],0))),""),0)</f>
        <v>0</v>
      </c>
      <c r="AK14" s="178"/>
      <c r="AL14" s="28"/>
      <c r="AM14" s="8"/>
      <c r="AN14" s="11"/>
      <c r="AO14" s="11"/>
      <c r="AP14" s="11"/>
      <c r="AQ14" s="13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3"/>
      <c r="BO14" s="12"/>
      <c r="BP14" s="12"/>
      <c r="BQ14" s="13"/>
      <c r="BR14" s="8"/>
      <c r="BS14" s="8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3"/>
      <c r="CW14" s="12"/>
      <c r="CX14" s="12"/>
      <c r="CY14" s="13"/>
    </row>
    <row r="15" spans="1:103" ht="9" customHeight="1" x14ac:dyDescent="0.2">
      <c r="A15" s="190"/>
      <c r="B15" s="19" t="s">
        <v>71</v>
      </c>
      <c r="C15" s="54">
        <f>IFERROR(IF(ROUNDDOWN((INDEX(IUpdate,MATCH($B15,IMenu,0),MATCH(C$2,IInst,0))*INDEX(tblSRD[Units/cs],MATCH($B15,tblSRD[Menu Item],0))),0)&gt;0,ROUNDDOWN((INDEX(IUpdate,MATCH($B15,IMenu,0),MATCH(C$2,IInst,0))*INDEX(tblSRD[Units/cs],MATCH($B15,tblSRD[Menu Item],0))),0),0),0)</f>
        <v>0</v>
      </c>
      <c r="D15" s="193"/>
      <c r="E15" s="187"/>
      <c r="F15" s="171"/>
      <c r="G15" s="171"/>
      <c r="H15" s="171"/>
      <c r="I15" s="171"/>
      <c r="J15" s="171"/>
      <c r="K15" s="175"/>
      <c r="L15" s="171"/>
      <c r="M15" s="171"/>
      <c r="N15" s="171"/>
      <c r="O15" s="171"/>
      <c r="P15" s="171"/>
      <c r="Q15" s="171"/>
      <c r="R15" s="175"/>
      <c r="S15" s="171"/>
      <c r="T15" s="171"/>
      <c r="U15" s="171"/>
      <c r="V15" s="171"/>
      <c r="W15" s="171"/>
      <c r="X15" s="171"/>
      <c r="Y15" s="175"/>
      <c r="Z15" s="171"/>
      <c r="AA15" s="171"/>
      <c r="AB15" s="171"/>
      <c r="AC15" s="171"/>
      <c r="AD15" s="171"/>
      <c r="AE15" s="171"/>
      <c r="AF15" s="175"/>
      <c r="AG15" s="182"/>
      <c r="AH15" s="158">
        <f>IFERROR(IF(INDEX(tblSRD[Shipping?],MATCH(B15,tblSRD[Menu Item],0))="Y",ROUNDDOWN($AG$11/INDEX(tblSRD[Units/cs],MATCH(B15,tblSRD[Menu Item],0)),0)*INDEX(tblSRD[Pct],MATCH(B15,tblSRD[Menu Item],0)),""),0)</f>
        <v>3.75</v>
      </c>
      <c r="AI15" s="41">
        <f>IFERROR(IF($AG$11&lt;0,IF(INDEX(tblSRD[Shipping?],MATCH(B15,tblSRD[Menu Item],0))="Y",ROUNDUP((ROUNDUP($AG$11/INDEX(tblSRD[Units/cs],MATCH(B15,tblSRD[Menu Item],0)),0)*-1)*INDEX(tblSRD[Pct],MATCH(B15,tblSRD[Menu Item],0)),0),""),0),0)</f>
        <v>0</v>
      </c>
      <c r="AJ15" s="166">
        <f>IFERROR(IF(AI15&lt;&gt;"",AI15*(INDEX(tblSRD[Units/cs],MATCH(B15,tblSRD[Menu Item],0))),""),0)</f>
        <v>0</v>
      </c>
      <c r="AK15" s="178"/>
      <c r="AL15" s="28"/>
      <c r="AM15" s="8"/>
      <c r="AN15" s="11"/>
      <c r="AO15" s="11"/>
      <c r="AP15" s="11"/>
      <c r="AQ15" s="13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3"/>
      <c r="BO15" s="12"/>
      <c r="BP15" s="12"/>
      <c r="BQ15" s="13"/>
      <c r="BR15" s="8"/>
      <c r="BS15" s="8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3"/>
      <c r="CW15" s="12"/>
      <c r="CX15" s="12"/>
      <c r="CY15" s="13"/>
    </row>
    <row r="16" spans="1:103" ht="9" customHeight="1" x14ac:dyDescent="0.2">
      <c r="A16" s="190"/>
      <c r="B16" s="19" t="s">
        <v>72</v>
      </c>
      <c r="C16" s="54">
        <f>IFERROR(IF(ROUNDDOWN((INDEX(IUpdate,MATCH($B16,IMenu,0),MATCH(C$2,IInst,0))*INDEX(tblSRD[Units/cs],MATCH($B16,tblSRD[Menu Item],0))),0)&gt;0,ROUNDDOWN((INDEX(IUpdate,MATCH($B16,IMenu,0),MATCH(C$2,IInst,0))*INDEX(tblSRD[Units/cs],MATCH($B16,tblSRD[Menu Item],0))),0),0),0)</f>
        <v>0</v>
      </c>
      <c r="D16" s="193"/>
      <c r="E16" s="187"/>
      <c r="F16" s="171"/>
      <c r="G16" s="171"/>
      <c r="H16" s="171"/>
      <c r="I16" s="171"/>
      <c r="J16" s="171"/>
      <c r="K16" s="175"/>
      <c r="L16" s="171"/>
      <c r="M16" s="171"/>
      <c r="N16" s="171"/>
      <c r="O16" s="171"/>
      <c r="P16" s="171"/>
      <c r="Q16" s="171"/>
      <c r="R16" s="175"/>
      <c r="S16" s="171"/>
      <c r="T16" s="171"/>
      <c r="U16" s="171"/>
      <c r="V16" s="171"/>
      <c r="W16" s="171"/>
      <c r="X16" s="171"/>
      <c r="Y16" s="175"/>
      <c r="Z16" s="171"/>
      <c r="AA16" s="171"/>
      <c r="AB16" s="171"/>
      <c r="AC16" s="171"/>
      <c r="AD16" s="171"/>
      <c r="AE16" s="171"/>
      <c r="AF16" s="175"/>
      <c r="AG16" s="182"/>
      <c r="AH16" s="158">
        <f>IFERROR(IF(INDEX(tblSRD[Shipping?],MATCH(B16,tblSRD[Menu Item],0))="Y",ROUNDDOWN($AG$11/INDEX(tblSRD[Units/cs],MATCH(B16,tblSRD[Menu Item],0)),0)*INDEX(tblSRD[Pct],MATCH(B16,tblSRD[Menu Item],0)),""),0)</f>
        <v>3.75</v>
      </c>
      <c r="AI16" s="41">
        <f>IFERROR(IF($AG$11&lt;0,IF(INDEX(tblSRD[Shipping?],MATCH(B16,tblSRD[Menu Item],0))="Y",ROUNDUP((ROUNDUP($AG$11/INDEX(tblSRD[Units/cs],MATCH(B16,tblSRD[Menu Item],0)),0)*-1)*INDEX(tblSRD[Pct],MATCH(B16,tblSRD[Menu Item],0)),0),""),0),0)</f>
        <v>0</v>
      </c>
      <c r="AJ16" s="166">
        <f>IFERROR(IF(AI16&lt;&gt;"",AI16*(INDEX(tblSRD[Units/cs],MATCH(B16,tblSRD[Menu Item],0))),""),0)</f>
        <v>0</v>
      </c>
      <c r="AK16" s="178"/>
      <c r="AL16" s="28"/>
      <c r="AM16" s="8"/>
      <c r="AN16" s="11"/>
      <c r="AO16" s="11"/>
      <c r="AP16" s="11"/>
      <c r="AQ16" s="13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3"/>
      <c r="BO16" s="12"/>
      <c r="BP16" s="12"/>
      <c r="BQ16" s="13"/>
      <c r="BR16" s="8"/>
      <c r="BS16" s="8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3"/>
      <c r="CW16" s="12"/>
      <c r="CX16" s="12"/>
      <c r="CY16" s="13"/>
    </row>
    <row r="17" spans="1:103" ht="9" customHeight="1" x14ac:dyDescent="0.2">
      <c r="A17" s="190"/>
      <c r="B17" s="19" t="s">
        <v>73</v>
      </c>
      <c r="C17" s="54">
        <f>IFERROR(IF(ROUNDDOWN((INDEX(IUpdate,MATCH($B17,IMenu,0),MATCH(C$2,IInst,0))*INDEX(tblSRD[Units/cs],MATCH($B17,tblSRD[Menu Item],0))),0)&gt;0,ROUNDDOWN((INDEX(IUpdate,MATCH($B17,IMenu,0),MATCH(C$2,IInst,0))*INDEX(tblSRD[Units/cs],MATCH($B17,tblSRD[Menu Item],0))),0),0),0)</f>
        <v>0</v>
      </c>
      <c r="D17" s="193"/>
      <c r="E17" s="187"/>
      <c r="F17" s="171"/>
      <c r="G17" s="171"/>
      <c r="H17" s="171"/>
      <c r="I17" s="171"/>
      <c r="J17" s="171"/>
      <c r="K17" s="175"/>
      <c r="L17" s="171"/>
      <c r="M17" s="171"/>
      <c r="N17" s="171"/>
      <c r="O17" s="171"/>
      <c r="P17" s="171"/>
      <c r="Q17" s="171"/>
      <c r="R17" s="175"/>
      <c r="S17" s="171"/>
      <c r="T17" s="171"/>
      <c r="U17" s="171"/>
      <c r="V17" s="171"/>
      <c r="W17" s="171"/>
      <c r="X17" s="171"/>
      <c r="Y17" s="175"/>
      <c r="Z17" s="171"/>
      <c r="AA17" s="171"/>
      <c r="AB17" s="171"/>
      <c r="AC17" s="171"/>
      <c r="AD17" s="171"/>
      <c r="AE17" s="171"/>
      <c r="AF17" s="175"/>
      <c r="AG17" s="182"/>
      <c r="AH17" s="158">
        <f>IFERROR(IF(INDEX(tblSRD[Shipping?],MATCH(B17,tblSRD[Menu Item],0))="Y",ROUNDDOWN($AG$11/INDEX(tblSRD[Units/cs],MATCH(B17,tblSRD[Menu Item],0)),0)*INDEX(tblSRD[Pct],MATCH(B17,tblSRD[Menu Item],0)),""),0)</f>
        <v>3.75</v>
      </c>
      <c r="AI17" s="41">
        <f>IFERROR(IF($AG$11&lt;0,IF(INDEX(tblSRD[Shipping?],MATCH(B17,tblSRD[Menu Item],0))="Y",ROUNDUP((ROUNDUP($AG$11/INDEX(tblSRD[Units/cs],MATCH(B17,tblSRD[Menu Item],0)),0)*-1)*INDEX(tblSRD[Pct],MATCH(B17,tblSRD[Menu Item],0)),0),""),0),0)</f>
        <v>0</v>
      </c>
      <c r="AJ17" s="166">
        <f>IFERROR(IF(AI17&lt;&gt;"",AI17*(INDEX(tblSRD[Units/cs],MATCH(B17,tblSRD[Menu Item],0))),""),0)</f>
        <v>0</v>
      </c>
      <c r="AK17" s="178"/>
      <c r="AL17" s="28"/>
      <c r="AM17" s="8"/>
      <c r="AN17" s="11"/>
      <c r="AO17" s="11"/>
      <c r="AP17" s="11"/>
      <c r="AQ17" s="13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3"/>
      <c r="BO17" s="12"/>
      <c r="BP17" s="12"/>
      <c r="BQ17" s="13"/>
      <c r="BR17" s="8"/>
      <c r="BS17" s="8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3"/>
      <c r="CW17" s="12"/>
      <c r="CX17" s="12"/>
      <c r="CY17" s="13"/>
    </row>
    <row r="18" spans="1:103" ht="9" customHeight="1" x14ac:dyDescent="0.2">
      <c r="A18" s="190"/>
      <c r="B18" s="19" t="s">
        <v>74</v>
      </c>
      <c r="C18" s="54">
        <f>IFERROR(IF(ROUNDDOWN((INDEX(IUpdate,MATCH($B18,IMenu,0),MATCH(C$2,IInst,0))*INDEX(tblSRD[Units/cs],MATCH($B18,tblSRD[Menu Item],0))),0)&gt;0,ROUNDDOWN((INDEX(IUpdate,MATCH($B18,IMenu,0),MATCH(C$2,IInst,0))*INDEX(tblSRD[Units/cs],MATCH($B18,tblSRD[Menu Item],0))),0),0),0)</f>
        <v>0</v>
      </c>
      <c r="D18" s="193"/>
      <c r="E18" s="187"/>
      <c r="F18" s="171"/>
      <c r="G18" s="171"/>
      <c r="H18" s="171"/>
      <c r="I18" s="171"/>
      <c r="J18" s="171"/>
      <c r="K18" s="175"/>
      <c r="L18" s="171"/>
      <c r="M18" s="171"/>
      <c r="N18" s="171"/>
      <c r="O18" s="171"/>
      <c r="P18" s="171"/>
      <c r="Q18" s="171"/>
      <c r="R18" s="175"/>
      <c r="S18" s="171"/>
      <c r="T18" s="171"/>
      <c r="U18" s="171"/>
      <c r="V18" s="171"/>
      <c r="W18" s="171"/>
      <c r="X18" s="171"/>
      <c r="Y18" s="175"/>
      <c r="Z18" s="171"/>
      <c r="AA18" s="171"/>
      <c r="AB18" s="171"/>
      <c r="AC18" s="171"/>
      <c r="AD18" s="171"/>
      <c r="AE18" s="171"/>
      <c r="AF18" s="175"/>
      <c r="AG18" s="182"/>
      <c r="AH18" s="158">
        <f>IFERROR(IF(INDEX(tblSRD[Shipping?],MATCH(B18,tblSRD[Menu Item],0))="Y",ROUNDDOWN($AG$11/INDEX(tblSRD[Units/cs],MATCH(B18,tblSRD[Menu Item],0)),0)*INDEX(tblSRD[Pct],MATCH(B18,tblSRD[Menu Item],0)),""),0)</f>
        <v>3.75</v>
      </c>
      <c r="AI18" s="41">
        <f>IFERROR(IF($AG$11&lt;0,IF(INDEX(tblSRD[Shipping?],MATCH(B18,tblSRD[Menu Item],0))="Y",ROUNDUP((ROUNDUP($AG$11/INDEX(tblSRD[Units/cs],MATCH(B18,tblSRD[Menu Item],0)),0)*-1)*INDEX(tblSRD[Pct],MATCH(B18,tblSRD[Menu Item],0)),0),""),0),0)</f>
        <v>0</v>
      </c>
      <c r="AJ18" s="166">
        <f>IFERROR(IF(AI18&lt;&gt;"",AI18*(INDEX(tblSRD[Units/cs],MATCH(B18,tblSRD[Menu Item],0))),""),0)</f>
        <v>0</v>
      </c>
      <c r="AK18" s="178"/>
      <c r="AL18" s="28"/>
      <c r="AM18" s="8"/>
      <c r="AN18" s="11"/>
      <c r="AO18" s="11"/>
      <c r="AP18" s="11"/>
      <c r="AQ18" s="13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3"/>
      <c r="BO18" s="12"/>
      <c r="BP18" s="12"/>
      <c r="BQ18" s="13"/>
      <c r="BR18" s="8"/>
      <c r="BS18" s="8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3"/>
      <c r="CW18" s="12"/>
      <c r="CX18" s="12"/>
      <c r="CY18" s="13"/>
    </row>
    <row r="19" spans="1:103" ht="9" customHeight="1" x14ac:dyDescent="0.2">
      <c r="A19" s="190"/>
      <c r="B19" s="19" t="s">
        <v>26</v>
      </c>
      <c r="C19" s="54">
        <f>IFERROR(IF(ROUNDDOWN((INDEX(IUpdate,MATCH($B19,IMenu,0),MATCH(C$2,IInst,0))*INDEX(tblSRD[Units/cs],MATCH($B19,tblSRD[Menu Item],0))),0)&gt;0,ROUNDDOWN((INDEX(IUpdate,MATCH($B19,IMenu,0),MATCH(C$2,IInst,0))*INDEX(tblSRD[Units/cs],MATCH($B19,tblSRD[Menu Item],0))),0),0),0)</f>
        <v>390</v>
      </c>
      <c r="D19" s="193"/>
      <c r="E19" s="187"/>
      <c r="F19" s="171"/>
      <c r="G19" s="171"/>
      <c r="H19" s="171"/>
      <c r="I19" s="171"/>
      <c r="J19" s="171"/>
      <c r="K19" s="175"/>
      <c r="L19" s="171"/>
      <c r="M19" s="171"/>
      <c r="N19" s="171"/>
      <c r="O19" s="171"/>
      <c r="P19" s="171"/>
      <c r="Q19" s="171"/>
      <c r="R19" s="175"/>
      <c r="S19" s="171"/>
      <c r="T19" s="171"/>
      <c r="U19" s="171"/>
      <c r="V19" s="171"/>
      <c r="W19" s="171"/>
      <c r="X19" s="171"/>
      <c r="Y19" s="175"/>
      <c r="Z19" s="171"/>
      <c r="AA19" s="171"/>
      <c r="AB19" s="171"/>
      <c r="AC19" s="171"/>
      <c r="AD19" s="171"/>
      <c r="AE19" s="171"/>
      <c r="AF19" s="175"/>
      <c r="AG19" s="182"/>
      <c r="AH19" s="158" t="str">
        <f>IFERROR(IF(INDEX(tblSRD[Shipping?],MATCH(B19,tblSRD[Menu Item],0))="Y",ROUNDDOWN($AG$11/INDEX(tblSRD[Units/cs],MATCH(B19,tblSRD[Menu Item],0)),0)*INDEX(tblSRD[Pct],MATCH(B19,tblSRD[Menu Item],0)),""),0)</f>
        <v/>
      </c>
      <c r="AI19" s="41">
        <f>IFERROR(IF($AG$11&lt;0,IF(INDEX(tblSRD[Shipping?],MATCH(B19,tblSRD[Menu Item],0))="Y",ROUNDUP((ROUNDUP($AG$11/INDEX(tblSRD[Units/cs],MATCH(B19,tblSRD[Menu Item],0)),0)*-1)*INDEX(tblSRD[Pct],MATCH(B19,tblSRD[Menu Item],0)),0),""),0),0)</f>
        <v>0</v>
      </c>
      <c r="AJ19" s="166">
        <f>IFERROR(IF(AI19&lt;&gt;"",AI19*(INDEX(tblSRD[Units/cs],MATCH(B19,tblSRD[Menu Item],0))),""),0)</f>
        <v>0</v>
      </c>
      <c r="AK19" s="178"/>
      <c r="AL19" s="28"/>
      <c r="AM19" s="8"/>
      <c r="AN19" s="11"/>
      <c r="AO19" s="11"/>
      <c r="AP19" s="11"/>
      <c r="AQ19" s="13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3"/>
      <c r="BO19" s="12"/>
      <c r="BP19" s="12"/>
      <c r="BQ19" s="13"/>
      <c r="BR19" s="8"/>
      <c r="BS19" s="8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3"/>
      <c r="CW19" s="12"/>
      <c r="CX19" s="12"/>
      <c r="CY19" s="13"/>
    </row>
    <row r="20" spans="1:103" ht="9" customHeight="1" x14ac:dyDescent="0.2">
      <c r="A20" s="191"/>
      <c r="B20" s="85" t="s">
        <v>27</v>
      </c>
      <c r="C20" s="86">
        <f>IFERROR(IF(ROUNDDOWN((INDEX(IUpdate,MATCH($B20,IMenu,0),MATCH(C$2,IInst,0))*INDEX(tblSRD[Units/cs],MATCH($B20,tblSRD[Menu Item],0))),0)&gt;0,ROUNDDOWN((INDEX(IUpdate,MATCH($B20,IMenu,0),MATCH(C$2,IInst,0))*INDEX(tblSRD[Units/cs],MATCH($B20,tblSRD[Menu Item],0))),0),0),0)</f>
        <v>1365</v>
      </c>
      <c r="D20" s="194"/>
      <c r="E20" s="195"/>
      <c r="F20" s="172"/>
      <c r="G20" s="172"/>
      <c r="H20" s="172"/>
      <c r="I20" s="172"/>
      <c r="J20" s="172"/>
      <c r="K20" s="180"/>
      <c r="L20" s="172"/>
      <c r="M20" s="172"/>
      <c r="N20" s="172"/>
      <c r="O20" s="172"/>
      <c r="P20" s="172"/>
      <c r="Q20" s="172"/>
      <c r="R20" s="180"/>
      <c r="S20" s="172"/>
      <c r="T20" s="172"/>
      <c r="U20" s="172"/>
      <c r="V20" s="172"/>
      <c r="W20" s="172"/>
      <c r="X20" s="172"/>
      <c r="Y20" s="180"/>
      <c r="Z20" s="172"/>
      <c r="AA20" s="172"/>
      <c r="AB20" s="172"/>
      <c r="AC20" s="172"/>
      <c r="AD20" s="172"/>
      <c r="AE20" s="172"/>
      <c r="AF20" s="180"/>
      <c r="AG20" s="183"/>
      <c r="AH20" s="159" t="str">
        <f>IFERROR(IF(INDEX(tblSRD[Shipping?],MATCH(B20,tblSRD[Menu Item],0))="Y",ROUNDDOWN($AG$11/INDEX(tblSRD[Units/cs],MATCH(B20,tblSRD[Menu Item],0)),0)*INDEX(tblSRD[Pct],MATCH(B20,tblSRD[Menu Item],0)),""),0)</f>
        <v/>
      </c>
      <c r="AI20" s="41">
        <f>IFERROR(IF($AG$11&lt;0,IF(INDEX(tblSRD[Shipping?],MATCH(B20,tblSRD[Menu Item],0))="Y",ROUNDUP((ROUNDUP($AG$11/INDEX(tblSRD[Units/cs],MATCH(B20,tblSRD[Menu Item],0)),0)*-1)*INDEX(tblSRD[Pct],MATCH(B20,tblSRD[Menu Item],0)),0),""),0),0)</f>
        <v>0</v>
      </c>
      <c r="AJ20" s="165">
        <f>IFERROR(IF(AI20&lt;&gt;"",AI20*(INDEX(tblSRD[Units/cs],MATCH(B20,tblSRD[Menu Item],0))),""),0)</f>
        <v>0</v>
      </c>
      <c r="AK20" s="179"/>
      <c r="AL20" s="28"/>
      <c r="AM20" s="8"/>
      <c r="AN20" s="11"/>
      <c r="AO20" s="11"/>
      <c r="AP20" s="11"/>
      <c r="AQ20" s="13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3"/>
      <c r="BO20" s="12"/>
      <c r="BP20" s="12"/>
      <c r="BQ20" s="13"/>
      <c r="BR20" s="8"/>
      <c r="BS20" s="8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3"/>
      <c r="CW20" s="12"/>
      <c r="CX20" s="12"/>
      <c r="CY20" s="13"/>
    </row>
    <row r="21" spans="1:103" ht="9" customHeight="1" x14ac:dyDescent="0.2">
      <c r="A21" s="189" t="s">
        <v>76</v>
      </c>
      <c r="B21" s="87" t="s">
        <v>61</v>
      </c>
      <c r="C21" s="88">
        <f>IFERROR(IF(ROUNDDOWN((INDEX(IUpdate,MATCH($B21,IMenu,0),MATCH(C$2,IInst,0))*INDEX(tblSRD[Units/cs],MATCH($B21,tblSRD[Menu Item],0))),0)&gt;0,ROUNDDOWN((INDEX(IUpdate,MATCH($B21,IMenu,0),MATCH(C$2,IInst,0))*INDEX(tblSRD[Units/cs],MATCH($B21,tblSRD[Menu Item],0))),0),0),0)</f>
        <v>270</v>
      </c>
      <c r="D21" s="192">
        <f>(((INDEX(IPop,MATCH($C$2,IInst,0))+1+SUM($E$2:E$2))*38)/-28)*$D$4</f>
        <v>0</v>
      </c>
      <c r="E21" s="186">
        <f>IF(E$4="U",SUM($C$21:$C$45),IF(E$4="X",0,IF(E$4="N",((INDEX(IPop,MATCH($C$2,IInst,0))+1+SUM($E$2:E$2))*38)/-28,"")))</f>
        <v>0</v>
      </c>
      <c r="F21" s="170">
        <f>IF(F$4="U",SUM($C$21:$C$45),IF(F$4="X",0,IF(F$4="N",((INDEX(IPop,MATCH($C$2,IInst,0))+1+SUM($E$2:F$2))*38)/-28,"")))</f>
        <v>0</v>
      </c>
      <c r="G21" s="170">
        <f>IF(G$4="U",SUM($C$21:$C$45),IF(G$4="X",0,IF(G$4="N",((INDEX(IPop,MATCH($C$2,IInst,0))+1+SUM($E$2:G$2))*38)/-28,"")))</f>
        <v>0</v>
      </c>
      <c r="H21" s="170">
        <f>IF(H$4="U",SUM($C$21:$C$45),IF(H$4="X",0,IF(H$4="N",((INDEX(IPop,MATCH($C$2,IInst,0))+1+SUM($E$2:H$2))*38)/-28,"")))</f>
        <v>0</v>
      </c>
      <c r="I21" s="170">
        <f>IF(I$4="U",SUM($C$21:$C$45),IF(I$4="X",0,IF(I$4="N",((INDEX(IPop,MATCH($C$2,IInst,0))+1+SUM($E$2:I$2))*38)/-28,"")))</f>
        <v>0</v>
      </c>
      <c r="J21" s="170">
        <f>IF(J$4="U",SUM($C$21:$C$45),IF(J$4="X",0,IF(J$4="N",((INDEX(IPop,MATCH($C$2,IInst,0))+1+SUM($E$2:J$2))*38)/-28,"")))</f>
        <v>0</v>
      </c>
      <c r="K21" s="174">
        <f>IF(K$4="U",SUM($C$21:$C$45),IF(K$4="X",0,IF(K$4="N",((INDEX(IPop,MATCH($C$2,IInst,0))+1+SUM($E$2:K$2))*38)/-28,"")))</f>
        <v>0</v>
      </c>
      <c r="L21" s="186">
        <f>IF(L$4="U",SUM($C$21:$C$45),IF(L$4="X",0,IF(L$4="N",((INDEX(IPop,MATCH($C$2,IInst,0))+1+SUM($E$2:L$2))*38)/-28,"")))</f>
        <v>0</v>
      </c>
      <c r="M21" s="170">
        <f>IF(M$4="U",SUM($C$21:$C$45),IF(M$4="X",0,IF(M$4="N",((INDEX(IPop,MATCH($C$2,IInst,0))+1+SUM($E$2:M$2))*38)/-28,"")))</f>
        <v>0</v>
      </c>
      <c r="N21" s="170">
        <f>IF(N$4="U",SUM($C$21:$C$45),IF(N$4="X",0,IF(N$4="N",((INDEX(IPop,MATCH($C$2,IInst,0))+1+SUM($E$2:N$2))*38)/-28,"")))</f>
        <v>0</v>
      </c>
      <c r="O21" s="170">
        <f>IF(O$4="U",SUM($C$21:$C$45),IF(O$4="X",0,IF(O$4="N",((INDEX(IPop,MATCH($C$2,IInst,0))+1+SUM($E$2:O$2))*38)/-28,"")))</f>
        <v>0</v>
      </c>
      <c r="P21" s="170">
        <f>IF(P$4="U",SUM($C$21:$C$45),IF(P$4="X",0,IF(P$4="N",((INDEX(IPop,MATCH($C$2,IInst,0))+1+SUM($E$2:P$2))*38)/-28,"")))</f>
        <v>0</v>
      </c>
      <c r="Q21" s="170">
        <f>IF(Q$4="U",SUM($C$21:$C$45),IF(Q$4="X",0,IF(Q$4="N",((INDEX(IPop,MATCH($C$2,IInst,0))+1+SUM($E$2:Q$2))*38)/-28,"")))</f>
        <v>0</v>
      </c>
      <c r="R21" s="174">
        <f>IF(R$4="U",SUM($C$21:$C$45),IF(R$4="X",0,IF(R$4="N",((INDEX(IPop,MATCH($C$2,IInst,0))+1+SUM($E$2:R$2))*38)/-28,"")))</f>
        <v>0</v>
      </c>
      <c r="S21" s="186">
        <f>IF(S$4="U",SUM($C$21:$C$45),IF(S$4="X",0,IF(S$4="N",((INDEX(IPop,MATCH($C$2,IInst,0))+1+SUM($E$2:S$2))*38)/-28,"")))</f>
        <v>3045</v>
      </c>
      <c r="T21" s="170">
        <f>IF(T$4="U",SUM($C$21:$C$45),IF(T$4="X",0,IF(T$4="N",((INDEX(IPop,MATCH($C$2,IInst,0))+1+SUM($E$2:T$2))*38)/-28,"")))</f>
        <v>-82.785714285714292</v>
      </c>
      <c r="U21" s="170">
        <f>IF(U$4="U",SUM($C$21:$C$45),IF(U$4="X",0,IF(U$4="N",((INDEX(IPop,MATCH($C$2,IInst,0))+1+SUM($E$2:U$2))*38)/-28,"")))</f>
        <v>-82.785714285714292</v>
      </c>
      <c r="V21" s="170">
        <f>IF(V$4="U",SUM($C$21:$C$45),IF(V$4="X",0,IF(V$4="N",((INDEX(IPop,MATCH($C$2,IInst,0))+1+SUM($E$2:V$2))*38)/-28,"")))</f>
        <v>-82.785714285714292</v>
      </c>
      <c r="W21" s="170">
        <f>IF(W$4="U",SUM($C$21:$C$45),IF(W$4="X",0,IF(W$4="N",((INDEX(IPop,MATCH($C$2,IInst,0))+1+SUM($E$2:W$2))*38)/-28,"")))</f>
        <v>-82.785714285714292</v>
      </c>
      <c r="X21" s="170">
        <f>IF(X$4="U",SUM($C$21:$C$45),IF(X$4="X",0,IF(X$4="N",((INDEX(IPop,MATCH($C$2,IInst,0))+1+SUM($E$2:X$2))*38)/-28,"")))</f>
        <v>-82.785714285714292</v>
      </c>
      <c r="Y21" s="174">
        <f>IF(Y$4="U",SUM($C$21:$C$45),IF(Y$4="X",0,IF(Y$4="N",((INDEX(IPop,MATCH($C$2,IInst,0))+1+SUM($E$2:Y$2))*38)/-28,"")))</f>
        <v>-82.785714285714292</v>
      </c>
      <c r="Z21" s="186">
        <f>IF(Z$4="U",SUM($C$21:$C$45),IF(Z$4="X",0,IF(Z$4="N",((INDEX(IPop,MATCH($C$2,IInst,0))+1+SUM($E$2:Z$2))*38)/-28,"")))</f>
        <v>-82.785714285714292</v>
      </c>
      <c r="AA21" s="170">
        <f>IF(AA$4="U",SUM($C$21:$C$45),IF(AA$4="X",0,IF(AA$4="N",((INDEX(IPop,MATCH($C$2,IInst,0))+1+SUM($E$2:AA$2))*38)/-28,"")))</f>
        <v>-82.785714285714292</v>
      </c>
      <c r="AB21" s="170">
        <f>IF(AB$4="U",SUM($C$21:$C$45),IF(AB$4="X",0,IF(AB$4="N",((INDEX(IPop,MATCH($C$2,IInst,0))+1+SUM($E$2:AB$2))*38)/-28,"")))</f>
        <v>-82.785714285714292</v>
      </c>
      <c r="AC21" s="170">
        <f>IF(AC$4="U",SUM($C$21:$C$45),IF(AC$4="X",0,IF(AC$4="N",((INDEX(IPop,MATCH($C$2,IInst,0))+1+SUM($E$2:AC$2))*38)/-28,"")))</f>
        <v>-82.785714285714292</v>
      </c>
      <c r="AD21" s="170">
        <f>IF(AD$4="U",SUM($C$21:$C$45),IF(AD$4="X",0,IF(AD$4="N",((INDEX(IPop,MATCH($C$2,IInst,0))+1+SUM($E$2:AD$2))*38)/-28,"")))</f>
        <v>-82.785714285714292</v>
      </c>
      <c r="AE21" s="170">
        <f>IF(AE$4="U",SUM($C$21:$C$45),IF(AE$4="X",0,IF(AE$4="N",((INDEX(IPop,MATCH($C$2,IInst,0))+1+SUM($E$2:AE$2))*38)/-28,"")))</f>
        <v>-82.785714285714292</v>
      </c>
      <c r="AF21" s="174">
        <f>IF(AF$4="U",SUM($C$21:$C$45),IF(AF$4="X",0,IF(AF$4="N",((INDEX(IPop,MATCH($C$2,IInst,0))+1+SUM($E$2:AF$2))*38)/-28,"")))</f>
        <v>-82.785714285714292</v>
      </c>
      <c r="AG21" s="181">
        <f>IF($B$2&gt;$B$4,SUM(C21:AF45),SUM(E21:AF45))</f>
        <v>1968.7857142857151</v>
      </c>
      <c r="AH21" s="157" t="str">
        <f>IFERROR(IF(INDEX(tblSRD[Shipping?],MATCH(B21,tblSRD[Menu Item],0))="Y",ROUNDDOWN($AG$21/INDEX(tblSRD[Units/cs],MATCH(B21,tblSRD[Menu Item],0)),0)*INDEX(tblSRD[Pct],MATCH(B21,tblSRD[Menu Item],0)),""),0)</f>
        <v/>
      </c>
      <c r="AI21" s="62">
        <f>IFERROR(IF($AG$21&lt;0,IF(INDEX(tblSRD[Shipping?],MATCH(B21,tblSRD[Menu Item],0))="Y",ROUNDUP((ROUNDUP($AG$21/INDEX(tblSRD[Units/cs],MATCH(B21,tblSRD[Menu Item],0)),0)*-1)*INDEX(tblSRD[Pct],MATCH(B21,tblSRD[Menu Item],0)),0),""),0),0)</f>
        <v>0</v>
      </c>
      <c r="AJ21" s="167">
        <f>IFERROR(IF(AI21&lt;&gt;"",AI21*(INDEX(tblSRD[Units/cs],MATCH(B21,tblSRD[Menu Item],0))),""),0)</f>
        <v>0</v>
      </c>
      <c r="AK21" s="177">
        <f>IFERROR(IF(SUM(AI21:AI45)&lt;&gt;0,SUM(AJ21:AJ45)+AG21,0),"")</f>
        <v>0</v>
      </c>
      <c r="AL21" s="28"/>
      <c r="AM21" s="8"/>
      <c r="AN21" s="11"/>
      <c r="AO21" s="11"/>
      <c r="AP21" s="11"/>
      <c r="AQ21" s="13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3"/>
      <c r="BO21" s="12"/>
      <c r="BP21" s="12"/>
      <c r="BQ21" s="13"/>
      <c r="BR21" s="8"/>
      <c r="BS21" s="8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3"/>
      <c r="CW21" s="12"/>
      <c r="CX21" s="12"/>
      <c r="CY21" s="13"/>
    </row>
    <row r="22" spans="1:103" ht="9" customHeight="1" x14ac:dyDescent="0.2">
      <c r="A22" s="190"/>
      <c r="B22" s="19" t="s">
        <v>62</v>
      </c>
      <c r="C22" s="54">
        <f>IFERROR(IF(ROUNDDOWN((INDEX(IUpdate,MATCH($B22,IMenu,0),MATCH(C$2,IInst,0))*INDEX(tblSRD[Units/cs],MATCH($B22,tblSRD[Menu Item],0))),0)&gt;0,ROUNDDOWN((INDEX(IUpdate,MATCH($B22,IMenu,0),MATCH(C$2,IInst,0))*INDEX(tblSRD[Units/cs],MATCH($B22,tblSRD[Menu Item],0))),0),0),0)</f>
        <v>0</v>
      </c>
      <c r="D22" s="193"/>
      <c r="E22" s="187"/>
      <c r="F22" s="171"/>
      <c r="G22" s="171"/>
      <c r="H22" s="171"/>
      <c r="I22" s="171"/>
      <c r="J22" s="171"/>
      <c r="K22" s="175"/>
      <c r="L22" s="187"/>
      <c r="M22" s="171"/>
      <c r="N22" s="171"/>
      <c r="O22" s="171"/>
      <c r="P22" s="171"/>
      <c r="Q22" s="171"/>
      <c r="R22" s="175"/>
      <c r="S22" s="187"/>
      <c r="T22" s="171"/>
      <c r="U22" s="171"/>
      <c r="V22" s="171"/>
      <c r="W22" s="171"/>
      <c r="X22" s="171"/>
      <c r="Y22" s="175"/>
      <c r="Z22" s="187"/>
      <c r="AA22" s="171"/>
      <c r="AB22" s="171"/>
      <c r="AC22" s="171"/>
      <c r="AD22" s="171"/>
      <c r="AE22" s="171"/>
      <c r="AF22" s="175"/>
      <c r="AG22" s="182"/>
      <c r="AH22" s="158" t="str">
        <f>IFERROR(IF(INDEX(tblSRD[Shipping?],MATCH(B22,tblSRD[Menu Item],0))="Y",ROUNDDOWN($AG$21/INDEX(tblSRD[Units/cs],MATCH(B22,tblSRD[Menu Item],0)),0)*INDEX(tblSRD[Pct],MATCH(B22,tblSRD[Menu Item],0)),""),0)</f>
        <v/>
      </c>
      <c r="AI22" s="41">
        <f>IFERROR(IF($AG$21&lt;0,IF(INDEX(tblSRD[Shipping?],MATCH(B22,tblSRD[Menu Item],0))="Y",ROUNDUP((ROUNDUP($AG$21/INDEX(tblSRD[Units/cs],MATCH(B22,tblSRD[Menu Item],0)),0)*-1)*INDEX(tblSRD[Pct],MATCH(B22,tblSRD[Menu Item],0)),0),""),0),0)</f>
        <v>0</v>
      </c>
      <c r="AJ22" s="164">
        <f>IFERROR(IF(AI22&lt;&gt;"",AI22*(INDEX(tblSRD[Units/cs],MATCH(B22,tblSRD[Menu Item],0))),""),0)</f>
        <v>0</v>
      </c>
      <c r="AK22" s="178"/>
      <c r="AL22" s="28"/>
      <c r="AM22" s="8"/>
      <c r="AN22" s="11"/>
      <c r="AO22" s="11"/>
      <c r="AP22" s="11"/>
      <c r="AQ22" s="13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3"/>
      <c r="BO22" s="12"/>
      <c r="BP22" s="12"/>
      <c r="BQ22" s="13"/>
      <c r="BR22" s="8"/>
      <c r="BS22" s="8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3"/>
      <c r="CW22" s="12"/>
      <c r="CX22" s="12"/>
      <c r="CY22" s="13"/>
    </row>
    <row r="23" spans="1:103" ht="9" customHeight="1" x14ac:dyDescent="0.2">
      <c r="A23" s="190"/>
      <c r="B23" s="19" t="s">
        <v>63</v>
      </c>
      <c r="C23" s="40">
        <f>IFERROR(IF(ROUNDDOWN((INDEX(IUpdate,MATCH($B23,IMenu,0),MATCH(C$2,IInst,0))*INDEX(tblSRD[Units/cs],MATCH($B23,tblSRD[Menu Item],0))),0)&gt;0,ROUNDDOWN((INDEX(IUpdate,MATCH($B23,IMenu,0),MATCH(C$2,IInst,0))*INDEX(tblSRD[Units/cs],MATCH($B23,tblSRD[Menu Item],0))),0),0),0)</f>
        <v>60</v>
      </c>
      <c r="D23" s="193"/>
      <c r="E23" s="187"/>
      <c r="F23" s="171"/>
      <c r="G23" s="171"/>
      <c r="H23" s="171"/>
      <c r="I23" s="171"/>
      <c r="J23" s="171"/>
      <c r="K23" s="175"/>
      <c r="L23" s="187"/>
      <c r="M23" s="171"/>
      <c r="N23" s="171"/>
      <c r="O23" s="171"/>
      <c r="P23" s="171"/>
      <c r="Q23" s="171"/>
      <c r="R23" s="175"/>
      <c r="S23" s="187"/>
      <c r="T23" s="171"/>
      <c r="U23" s="171"/>
      <c r="V23" s="171"/>
      <c r="W23" s="171"/>
      <c r="X23" s="171"/>
      <c r="Y23" s="175"/>
      <c r="Z23" s="187"/>
      <c r="AA23" s="171"/>
      <c r="AB23" s="171"/>
      <c r="AC23" s="171"/>
      <c r="AD23" s="171"/>
      <c r="AE23" s="171"/>
      <c r="AF23" s="175"/>
      <c r="AG23" s="182"/>
      <c r="AH23" s="158" t="str">
        <f>IFERROR(IF(INDEX(tblSRD[Shipping?],MATCH(B23,tblSRD[Menu Item],0))="Y",ROUNDDOWN($AG$21/INDEX(tblSRD[Units/cs],MATCH(B23,tblSRD[Menu Item],0)),0)*INDEX(tblSRD[Pct],MATCH(B23,tblSRD[Menu Item],0)),""),0)</f>
        <v/>
      </c>
      <c r="AI23" s="41">
        <f>IFERROR(IF($AG$21&lt;0,IF(INDEX(tblSRD[Shipping?],MATCH(B23,tblSRD[Menu Item],0))="Y",ROUNDUP((ROUNDUP($AG$21/INDEX(tblSRD[Units/cs],MATCH(B23,tblSRD[Menu Item],0)),0)*-1)*INDEX(tblSRD[Pct],MATCH(B23,tblSRD[Menu Item],0)),0),""),0),0)</f>
        <v>0</v>
      </c>
      <c r="AJ23" s="164">
        <f>IFERROR(IF(AI23&lt;&gt;"",AI23*(INDEX(tblSRD[Units/cs],MATCH(B23,tblSRD[Menu Item],0))),""),0)</f>
        <v>0</v>
      </c>
      <c r="AK23" s="178"/>
      <c r="AL23" s="28"/>
      <c r="AM23" s="8"/>
      <c r="AN23" s="11"/>
      <c r="AO23" s="11"/>
      <c r="AP23" s="11"/>
      <c r="AQ23" s="13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3"/>
      <c r="BO23" s="12"/>
      <c r="BP23" s="12"/>
      <c r="BQ23" s="13"/>
      <c r="BR23" s="8"/>
      <c r="BS23" s="8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3"/>
      <c r="CW23" s="12"/>
      <c r="CX23" s="12"/>
      <c r="CY23" s="13"/>
    </row>
    <row r="24" spans="1:103" ht="9" customHeight="1" x14ac:dyDescent="0.2">
      <c r="A24" s="190"/>
      <c r="B24" s="19" t="s">
        <v>64</v>
      </c>
      <c r="C24" s="40">
        <f>IFERROR(IF(ROUNDDOWN((INDEX(IUpdate,MATCH($B24,IMenu,0),MATCH(C$2,IInst,0))*INDEX(tblSRD[Units/cs],MATCH($B24,tblSRD[Menu Item],0))),0)&gt;0,ROUNDDOWN((INDEX(IUpdate,MATCH($B24,IMenu,0),MATCH(C$2,IInst,0))*INDEX(tblSRD[Units/cs],MATCH($B24,tblSRD[Menu Item],0))),0),0),0)</f>
        <v>210</v>
      </c>
      <c r="D24" s="193"/>
      <c r="E24" s="187"/>
      <c r="F24" s="171"/>
      <c r="G24" s="171"/>
      <c r="H24" s="171"/>
      <c r="I24" s="171"/>
      <c r="J24" s="171"/>
      <c r="K24" s="175"/>
      <c r="L24" s="187"/>
      <c r="M24" s="171"/>
      <c r="N24" s="171"/>
      <c r="O24" s="171"/>
      <c r="P24" s="171"/>
      <c r="Q24" s="171"/>
      <c r="R24" s="175"/>
      <c r="S24" s="187"/>
      <c r="T24" s="171"/>
      <c r="U24" s="171"/>
      <c r="V24" s="171"/>
      <c r="W24" s="171"/>
      <c r="X24" s="171"/>
      <c r="Y24" s="175"/>
      <c r="Z24" s="187"/>
      <c r="AA24" s="171"/>
      <c r="AB24" s="171"/>
      <c r="AC24" s="171"/>
      <c r="AD24" s="171"/>
      <c r="AE24" s="171"/>
      <c r="AF24" s="175"/>
      <c r="AG24" s="182"/>
      <c r="AH24" s="158" t="str">
        <f>IFERROR(IF(INDEX(tblSRD[Shipping?],MATCH(B24,tblSRD[Menu Item],0))="Y",ROUNDDOWN($AG$21/INDEX(tblSRD[Units/cs],MATCH(B24,tblSRD[Menu Item],0)),0)*INDEX(tblSRD[Pct],MATCH(B24,tblSRD[Menu Item],0)),""),0)</f>
        <v/>
      </c>
      <c r="AI24" s="41">
        <f>IFERROR(IF($AG$21&lt;0,IF(INDEX(tblSRD[Shipping?],MATCH(B24,tblSRD[Menu Item],0))="Y",ROUNDUP((ROUNDUP($AG$21/INDEX(tblSRD[Units/cs],MATCH(B24,tblSRD[Menu Item],0)),0)*-1)*INDEX(tblSRD[Pct],MATCH(B24,tblSRD[Menu Item],0)),0),""),0),0)</f>
        <v>0</v>
      </c>
      <c r="AJ24" s="164">
        <f>IFERROR(IF(AI24&lt;&gt;"",AI24*(INDEX(tblSRD[Units/cs],MATCH(B24,tblSRD[Menu Item],0))),""),0)</f>
        <v>0</v>
      </c>
      <c r="AK24" s="178"/>
      <c r="AL24" s="28"/>
      <c r="AM24" s="8"/>
      <c r="AN24" s="11"/>
      <c r="AO24" s="11"/>
      <c r="AP24" s="11"/>
      <c r="AQ24" s="13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3"/>
      <c r="BO24" s="12"/>
      <c r="BP24" s="12"/>
      <c r="BQ24" s="13"/>
      <c r="BR24" s="8"/>
      <c r="BS24" s="8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3"/>
      <c r="CW24" s="12"/>
      <c r="CX24" s="12"/>
      <c r="CY24" s="13"/>
    </row>
    <row r="25" spans="1:103" ht="9" customHeight="1" x14ac:dyDescent="0.2">
      <c r="A25" s="190"/>
      <c r="B25" s="19" t="s">
        <v>65</v>
      </c>
      <c r="C25" s="40">
        <f>IFERROR(IF(ROUNDDOWN((INDEX(IUpdate,MATCH($B25,IMenu,0),MATCH(C$2,IInst,0))*INDEX(tblSRD[Units/cs],MATCH($B25,tblSRD[Menu Item],0))),0)&gt;0,ROUNDDOWN((INDEX(IUpdate,MATCH($B25,IMenu,0),MATCH(C$2,IInst,0))*INDEX(tblSRD[Units/cs],MATCH($B25,tblSRD[Menu Item],0))),0),0),0)</f>
        <v>450</v>
      </c>
      <c r="D25" s="193"/>
      <c r="E25" s="187"/>
      <c r="F25" s="171"/>
      <c r="G25" s="171"/>
      <c r="H25" s="171"/>
      <c r="I25" s="171"/>
      <c r="J25" s="171"/>
      <c r="K25" s="175"/>
      <c r="L25" s="187"/>
      <c r="M25" s="171"/>
      <c r="N25" s="171"/>
      <c r="O25" s="171"/>
      <c r="P25" s="171"/>
      <c r="Q25" s="171"/>
      <c r="R25" s="175"/>
      <c r="S25" s="187"/>
      <c r="T25" s="171"/>
      <c r="U25" s="171"/>
      <c r="V25" s="171"/>
      <c r="W25" s="171"/>
      <c r="X25" s="171"/>
      <c r="Y25" s="175"/>
      <c r="Z25" s="187"/>
      <c r="AA25" s="171"/>
      <c r="AB25" s="171"/>
      <c r="AC25" s="171"/>
      <c r="AD25" s="171"/>
      <c r="AE25" s="171"/>
      <c r="AF25" s="175"/>
      <c r="AG25" s="182"/>
      <c r="AH25" s="158" t="str">
        <f>IFERROR(IF(INDEX(tblSRD[Shipping?],MATCH(B25,tblSRD[Menu Item],0))="Y",ROUNDDOWN($AG$21/INDEX(tblSRD[Units/cs],MATCH(B25,tblSRD[Menu Item],0)),0)*INDEX(tblSRD[Pct],MATCH(B25,tblSRD[Menu Item],0)),""),0)</f>
        <v/>
      </c>
      <c r="AI25" s="41">
        <f>IFERROR(IF($AG$21&lt;0,IF(INDEX(tblSRD[Shipping?],MATCH(B25,tblSRD[Menu Item],0))="Y",ROUNDUP((ROUNDUP($AG$21/INDEX(tblSRD[Units/cs],MATCH(B25,tblSRD[Menu Item],0)),0)*-1)*INDEX(tblSRD[Pct],MATCH(B25,tblSRD[Menu Item],0)),0),""),0),0)</f>
        <v>0</v>
      </c>
      <c r="AJ25" s="164">
        <f>IFERROR(IF(AI25&lt;&gt;"",AI25*(INDEX(tblSRD[Units/cs],MATCH(B25,tblSRD[Menu Item],0))),""),0)</f>
        <v>0</v>
      </c>
      <c r="AK25" s="178"/>
      <c r="AL25" s="28"/>
      <c r="AM25" s="8"/>
      <c r="AN25" s="11"/>
      <c r="AO25" s="11"/>
      <c r="AP25" s="11"/>
      <c r="AQ25" s="13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3"/>
      <c r="BO25" s="12"/>
      <c r="BP25" s="12"/>
      <c r="BQ25" s="13"/>
      <c r="BR25" s="8"/>
      <c r="BS25" s="8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3"/>
      <c r="CW25" s="12"/>
      <c r="CX25" s="12"/>
      <c r="CY25" s="13"/>
    </row>
    <row r="26" spans="1:103" ht="9" customHeight="1" x14ac:dyDescent="0.2">
      <c r="A26" s="190"/>
      <c r="B26" s="19" t="s">
        <v>66</v>
      </c>
      <c r="C26" s="40">
        <f>IFERROR(IF(ROUNDDOWN((INDEX(IUpdate,MATCH($B26,IMenu,0),MATCH(C$2,IInst,0))*INDEX(tblSRD[Units/cs],MATCH($B26,tblSRD[Menu Item],0))),0)&gt;0,ROUNDDOWN((INDEX(IUpdate,MATCH($B26,IMenu,0),MATCH(C$2,IInst,0))*INDEX(tblSRD[Units/cs],MATCH($B26,tblSRD[Menu Item],0))),0),0),0)</f>
        <v>660</v>
      </c>
      <c r="D26" s="193"/>
      <c r="E26" s="187"/>
      <c r="F26" s="171"/>
      <c r="G26" s="171"/>
      <c r="H26" s="171"/>
      <c r="I26" s="171"/>
      <c r="J26" s="171"/>
      <c r="K26" s="175"/>
      <c r="L26" s="187"/>
      <c r="M26" s="171"/>
      <c r="N26" s="171"/>
      <c r="O26" s="171"/>
      <c r="P26" s="171"/>
      <c r="Q26" s="171"/>
      <c r="R26" s="175"/>
      <c r="S26" s="187"/>
      <c r="T26" s="171"/>
      <c r="U26" s="171"/>
      <c r="V26" s="171"/>
      <c r="W26" s="171"/>
      <c r="X26" s="171"/>
      <c r="Y26" s="175"/>
      <c r="Z26" s="187"/>
      <c r="AA26" s="171"/>
      <c r="AB26" s="171"/>
      <c r="AC26" s="171"/>
      <c r="AD26" s="171"/>
      <c r="AE26" s="171"/>
      <c r="AF26" s="175"/>
      <c r="AG26" s="182"/>
      <c r="AH26" s="158" t="str">
        <f>IFERROR(IF(INDEX(tblSRD[Shipping?],MATCH(B26,tblSRD[Menu Item],0))="Y",ROUNDDOWN($AG$21/INDEX(tblSRD[Units/cs],MATCH(B26,tblSRD[Menu Item],0)),0)*INDEX(tblSRD[Pct],MATCH(B26,tblSRD[Menu Item],0)),""),0)</f>
        <v/>
      </c>
      <c r="AI26" s="41">
        <f>IFERROR(IF($AG$21&lt;0,IF(INDEX(tblSRD[Shipping?],MATCH(B26,tblSRD[Menu Item],0))="Y",ROUNDUP((ROUNDUP($AG$21/INDEX(tblSRD[Units/cs],MATCH(B26,tblSRD[Menu Item],0)),0)*-1)*INDEX(tblSRD[Pct],MATCH(B26,tblSRD[Menu Item],0)),0),""),0),0)</f>
        <v>0</v>
      </c>
      <c r="AJ26" s="164">
        <f>IFERROR(IF(AI26&lt;&gt;"",AI26*(INDEX(tblSRD[Units/cs],MATCH(B26,tblSRD[Menu Item],0))),""),0)</f>
        <v>0</v>
      </c>
      <c r="AK26" s="178"/>
      <c r="AL26" s="28"/>
      <c r="AM26" s="8"/>
      <c r="AN26" s="11"/>
      <c r="AO26" s="56"/>
      <c r="AP26" s="11"/>
      <c r="AQ26" s="13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3"/>
      <c r="BO26" s="12"/>
      <c r="BP26" s="12"/>
      <c r="BQ26" s="13"/>
      <c r="BR26" s="8"/>
      <c r="BS26" s="8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3"/>
      <c r="CW26" s="12"/>
      <c r="CX26" s="12"/>
      <c r="CY26" s="13"/>
    </row>
    <row r="27" spans="1:103" ht="9" customHeight="1" x14ac:dyDescent="0.2">
      <c r="A27" s="190"/>
      <c r="B27" s="19" t="s">
        <v>67</v>
      </c>
      <c r="C27" s="40">
        <f>IFERROR(IF(ROUNDDOWN((INDEX(IUpdate,MATCH($B27,IMenu,0),MATCH(C$2,IInst,0))*INDEX(tblSRD[Units/cs],MATCH($B27,tblSRD[Menu Item],0))),0)&gt;0,ROUNDDOWN((INDEX(IUpdate,MATCH($B27,IMenu,0),MATCH(C$2,IInst,0))*INDEX(tblSRD[Units/cs],MATCH($B27,tblSRD[Menu Item],0))),0),0),0)</f>
        <v>450</v>
      </c>
      <c r="D27" s="193"/>
      <c r="E27" s="187"/>
      <c r="F27" s="171"/>
      <c r="G27" s="171"/>
      <c r="H27" s="171"/>
      <c r="I27" s="171"/>
      <c r="J27" s="171"/>
      <c r="K27" s="175"/>
      <c r="L27" s="187"/>
      <c r="M27" s="171"/>
      <c r="N27" s="171"/>
      <c r="O27" s="171"/>
      <c r="P27" s="171"/>
      <c r="Q27" s="171"/>
      <c r="R27" s="175"/>
      <c r="S27" s="187"/>
      <c r="T27" s="171"/>
      <c r="U27" s="171"/>
      <c r="V27" s="171"/>
      <c r="W27" s="171"/>
      <c r="X27" s="171"/>
      <c r="Y27" s="175"/>
      <c r="Z27" s="187"/>
      <c r="AA27" s="171"/>
      <c r="AB27" s="171"/>
      <c r="AC27" s="171"/>
      <c r="AD27" s="171"/>
      <c r="AE27" s="171"/>
      <c r="AF27" s="175"/>
      <c r="AG27" s="182"/>
      <c r="AH27" s="158" t="str">
        <f>IFERROR(IF(INDEX(tblSRD[Shipping?],MATCH(B27,tblSRD[Menu Item],0))="Y",ROUNDDOWN($AG$21/INDEX(tblSRD[Units/cs],MATCH(B27,tblSRD[Menu Item],0)),0)*INDEX(tblSRD[Pct],MATCH(B27,tblSRD[Menu Item],0)),""),0)</f>
        <v/>
      </c>
      <c r="AI27" s="41">
        <f>IFERROR(IF($AG$21&lt;0,IF(INDEX(tblSRD[Shipping?],MATCH(B27,tblSRD[Menu Item],0))="Y",ROUNDUP((ROUNDUP($AG$21/INDEX(tblSRD[Units/cs],MATCH(B27,tblSRD[Menu Item],0)),0)*-1)*INDEX(tblSRD[Pct],MATCH(B27,tblSRD[Menu Item],0)),0),""),0),0)</f>
        <v>0</v>
      </c>
      <c r="AJ27" s="164">
        <f>IFERROR(IF(AI27&lt;&gt;"",AI27*(INDEX(tblSRD[Units/cs],MATCH(B27,tblSRD[Menu Item],0))),""),0)</f>
        <v>0</v>
      </c>
      <c r="AK27" s="178"/>
      <c r="AL27" s="28"/>
      <c r="AM27" s="8"/>
      <c r="AN27" s="11"/>
      <c r="AO27" s="11"/>
      <c r="AP27" s="11"/>
      <c r="AQ27" s="13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3"/>
      <c r="BO27" s="12"/>
      <c r="BP27" s="12"/>
      <c r="BQ27" s="13"/>
      <c r="BR27" s="8"/>
      <c r="BS27" s="8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3"/>
      <c r="CW27" s="12"/>
      <c r="CX27" s="12"/>
      <c r="CY27" s="13"/>
    </row>
    <row r="28" spans="1:103" ht="9" customHeight="1" x14ac:dyDescent="0.2">
      <c r="A28" s="190"/>
      <c r="B28" s="19" t="s">
        <v>7</v>
      </c>
      <c r="C28" s="40">
        <f>IFERROR(IF(ROUNDDOWN((INDEX(IUpdate,MATCH($B28,IMenu,0),MATCH(C$2,IInst,0))*INDEX(tblSRD[Units/cs],MATCH($B28,tblSRD[Menu Item],0))),0)&gt;0,ROUNDDOWN((INDEX(IUpdate,MATCH($B28,IMenu,0),MATCH(C$2,IInst,0))*INDEX(tblSRD[Units/cs],MATCH($B28,tblSRD[Menu Item],0))),0),0),0)</f>
        <v>140</v>
      </c>
      <c r="D28" s="193"/>
      <c r="E28" s="187"/>
      <c r="F28" s="171"/>
      <c r="G28" s="171"/>
      <c r="H28" s="171"/>
      <c r="I28" s="171"/>
      <c r="J28" s="171"/>
      <c r="K28" s="175"/>
      <c r="L28" s="187"/>
      <c r="M28" s="171"/>
      <c r="N28" s="171"/>
      <c r="O28" s="171"/>
      <c r="P28" s="171"/>
      <c r="Q28" s="171"/>
      <c r="R28" s="175"/>
      <c r="S28" s="187"/>
      <c r="T28" s="171"/>
      <c r="U28" s="171"/>
      <c r="V28" s="171"/>
      <c r="W28" s="171"/>
      <c r="X28" s="171"/>
      <c r="Y28" s="175"/>
      <c r="Z28" s="187"/>
      <c r="AA28" s="171"/>
      <c r="AB28" s="171"/>
      <c r="AC28" s="171"/>
      <c r="AD28" s="171"/>
      <c r="AE28" s="171"/>
      <c r="AF28" s="175"/>
      <c r="AG28" s="182"/>
      <c r="AH28" s="158" t="str">
        <f>IFERROR(IF(INDEX(tblSRD[Shipping?],MATCH(B28,tblSRD[Menu Item],0))="Y",ROUNDDOWN($AG$21/INDEX(tblSRD[Units/cs],MATCH(B28,tblSRD[Menu Item],0)),0)*INDEX(tblSRD[Pct],MATCH(B28,tblSRD[Menu Item],0)),""),0)</f>
        <v/>
      </c>
      <c r="AI28" s="41">
        <f>IFERROR(IF($AG$21&lt;0,IF(INDEX(tblSRD[Shipping?],MATCH(B28,tblSRD[Menu Item],0))="Y",ROUNDUP((ROUNDUP($AG$21/INDEX(tblSRD[Units/cs],MATCH(B28,tblSRD[Menu Item],0)),0)*-1)*INDEX(tblSRD[Pct],MATCH(B28,tblSRD[Menu Item],0)),0),""),0),0)</f>
        <v>0</v>
      </c>
      <c r="AJ28" s="164">
        <f>IFERROR(IF(AI28&lt;&gt;"",AI28*(INDEX(tblSRD[Units/cs],MATCH(B28,tblSRD[Menu Item],0))),""),0)</f>
        <v>0</v>
      </c>
      <c r="AK28" s="178"/>
      <c r="AL28" s="28"/>
      <c r="AM28" s="8"/>
      <c r="AN28" s="11"/>
      <c r="AO28" s="11"/>
      <c r="AP28" s="11"/>
      <c r="AQ28" s="13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3"/>
      <c r="BO28" s="12"/>
      <c r="BP28" s="12"/>
      <c r="BQ28" s="13"/>
      <c r="BR28" s="8"/>
      <c r="BS28" s="8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3"/>
      <c r="CW28" s="12"/>
      <c r="CX28" s="12"/>
      <c r="CY28" s="13"/>
    </row>
    <row r="29" spans="1:103" ht="9" customHeight="1" x14ac:dyDescent="0.2">
      <c r="A29" s="190"/>
      <c r="B29" s="19" t="s">
        <v>43</v>
      </c>
      <c r="C29" s="40">
        <f>IFERROR(IF(ROUNDDOWN((INDEX(IUpdate,MATCH($B29,IMenu,0),MATCH(C$2,IInst,0))*INDEX(tblSRD[Units/cs],MATCH($B29,tblSRD[Menu Item],0))),0)&gt;0,ROUNDDOWN((INDEX(IUpdate,MATCH($B29,IMenu,0),MATCH(C$2,IInst,0))*INDEX(tblSRD[Units/cs],MATCH($B29,tblSRD[Menu Item],0))),0),0),0)</f>
        <v>490</v>
      </c>
      <c r="D29" s="193"/>
      <c r="E29" s="187"/>
      <c r="F29" s="171"/>
      <c r="G29" s="171"/>
      <c r="H29" s="171"/>
      <c r="I29" s="171"/>
      <c r="J29" s="171"/>
      <c r="K29" s="175"/>
      <c r="L29" s="187"/>
      <c r="M29" s="171"/>
      <c r="N29" s="171"/>
      <c r="O29" s="171"/>
      <c r="P29" s="171"/>
      <c r="Q29" s="171"/>
      <c r="R29" s="175"/>
      <c r="S29" s="187"/>
      <c r="T29" s="171"/>
      <c r="U29" s="171"/>
      <c r="V29" s="171"/>
      <c r="W29" s="171"/>
      <c r="X29" s="171"/>
      <c r="Y29" s="175"/>
      <c r="Z29" s="187"/>
      <c r="AA29" s="171"/>
      <c r="AB29" s="171"/>
      <c r="AC29" s="171"/>
      <c r="AD29" s="171"/>
      <c r="AE29" s="171"/>
      <c r="AF29" s="175"/>
      <c r="AG29" s="182"/>
      <c r="AH29" s="158" t="str">
        <f>IFERROR(IF(INDEX(tblSRD[Shipping?],MATCH(B29,tblSRD[Menu Item],0))="Y",ROUNDDOWN($AG$21/INDEX(tblSRD[Units/cs],MATCH(B29,tblSRD[Menu Item],0)),0)*INDEX(tblSRD[Pct],MATCH(B29,tblSRD[Menu Item],0)),""),0)</f>
        <v/>
      </c>
      <c r="AI29" s="41">
        <f>IFERROR(IF($AG$21&lt;0,IF(INDEX(tblSRD[Shipping?],MATCH(B29,tblSRD[Menu Item],0))="Y",ROUNDUP((ROUNDUP($AG$21/INDEX(tblSRD[Units/cs],MATCH(B29,tblSRD[Menu Item],0)),0)*-1)*INDEX(tblSRD[Pct],MATCH(B29,tblSRD[Menu Item],0)),0),""),0),0)</f>
        <v>0</v>
      </c>
      <c r="AJ29" s="164">
        <f>IFERROR(IF(AI29&lt;&gt;"",AI29*(INDEX(tblSRD[Units/cs],MATCH(B29,tblSRD[Menu Item],0))),""),0)</f>
        <v>0</v>
      </c>
      <c r="AK29" s="178"/>
      <c r="AL29" s="28"/>
      <c r="AM29" s="8"/>
      <c r="AN29" s="11"/>
      <c r="AO29" s="11"/>
      <c r="AP29" s="11"/>
      <c r="AQ29" s="13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3"/>
      <c r="BO29" s="12"/>
      <c r="BP29" s="12"/>
      <c r="BQ29" s="13"/>
      <c r="BR29" s="8"/>
      <c r="BS29" s="8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3"/>
      <c r="CW29" s="12"/>
      <c r="CX29" s="12"/>
      <c r="CY29" s="13"/>
    </row>
    <row r="30" spans="1:103" ht="9" customHeight="1" x14ac:dyDescent="0.2">
      <c r="A30" s="190"/>
      <c r="B30" s="19" t="s">
        <v>11</v>
      </c>
      <c r="C30" s="40">
        <f>IFERROR(IF(ROUNDDOWN((INDEX(IUpdate,MATCH($B30,IMenu,0),MATCH(C$2,IInst,0))*INDEX(tblSRD[Units/cs],MATCH($B30,tblSRD[Menu Item],0))),0)&gt;0,ROUNDDOWN((INDEX(IUpdate,MATCH($B30,IMenu,0),MATCH(C$2,IInst,0))*INDEX(tblSRD[Units/cs],MATCH($B30,tblSRD[Menu Item],0))),0),0),0)</f>
        <v>0</v>
      </c>
      <c r="D30" s="193"/>
      <c r="E30" s="187"/>
      <c r="F30" s="171"/>
      <c r="G30" s="171"/>
      <c r="H30" s="171"/>
      <c r="I30" s="171"/>
      <c r="J30" s="171"/>
      <c r="K30" s="175"/>
      <c r="L30" s="187"/>
      <c r="M30" s="171"/>
      <c r="N30" s="171"/>
      <c r="O30" s="171"/>
      <c r="P30" s="171"/>
      <c r="Q30" s="171"/>
      <c r="R30" s="175"/>
      <c r="S30" s="187"/>
      <c r="T30" s="171"/>
      <c r="U30" s="171"/>
      <c r="V30" s="171"/>
      <c r="W30" s="171"/>
      <c r="X30" s="171"/>
      <c r="Y30" s="175"/>
      <c r="Z30" s="187"/>
      <c r="AA30" s="171"/>
      <c r="AB30" s="171"/>
      <c r="AC30" s="171"/>
      <c r="AD30" s="171"/>
      <c r="AE30" s="171"/>
      <c r="AF30" s="175"/>
      <c r="AG30" s="182"/>
      <c r="AH30" s="158" t="str">
        <f>IFERROR(IF(INDEX(tblSRD[Shipping?],MATCH(B30,tblSRD[Menu Item],0))="Y",ROUNDDOWN($AG$21/INDEX(tblSRD[Units/cs],MATCH(B30,tblSRD[Menu Item],0)),0)*INDEX(tblSRD[Pct],MATCH(B30,tblSRD[Menu Item],0)),""),0)</f>
        <v/>
      </c>
      <c r="AI30" s="41">
        <f>IFERROR(IF($AG$21&lt;0,IF(INDEX(tblSRD[Shipping?],MATCH(B30,tblSRD[Menu Item],0))="Y",ROUNDUP((ROUNDUP($AG$21/INDEX(tblSRD[Units/cs],MATCH(B30,tblSRD[Menu Item],0)),0)*-1)*INDEX(tblSRD[Pct],MATCH(B30,tblSRD[Menu Item],0)),0),""),0),0)</f>
        <v>0</v>
      </c>
      <c r="AJ30" s="164">
        <f>IFERROR(IF(AI30&lt;&gt;"",AI30*(INDEX(tblSRD[Units/cs],MATCH(B30,tblSRD[Menu Item],0))),""),0)</f>
        <v>0</v>
      </c>
      <c r="AK30" s="178"/>
      <c r="AL30" s="28"/>
      <c r="AM30" s="8"/>
      <c r="AN30" s="11"/>
      <c r="AO30" s="11"/>
      <c r="AP30" s="11"/>
      <c r="AQ30" s="13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3"/>
      <c r="BO30" s="12"/>
      <c r="BP30" s="12"/>
      <c r="BQ30" s="13"/>
      <c r="BR30" s="8"/>
      <c r="BS30" s="8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3"/>
      <c r="CW30" s="12"/>
      <c r="CX30" s="12"/>
      <c r="CY30" s="13"/>
    </row>
    <row r="31" spans="1:103" ht="9" customHeight="1" x14ac:dyDescent="0.2">
      <c r="A31" s="190"/>
      <c r="B31" s="19" t="s">
        <v>13</v>
      </c>
      <c r="C31" s="40">
        <f>IFERROR(IF(ROUNDDOWN((INDEX(IUpdate,MATCH($B31,IMenu,0),MATCH(C$2,IInst,0))*INDEX(tblSRD[Units/cs],MATCH($B31,tblSRD[Menu Item],0))),0)&gt;0,ROUNDDOWN((INDEX(IUpdate,MATCH($B31,IMenu,0),MATCH(C$2,IInst,0))*INDEX(tblSRD[Units/cs],MATCH($B31,tblSRD[Menu Item],0))),0),0),0)</f>
        <v>315</v>
      </c>
      <c r="D31" s="193"/>
      <c r="E31" s="187"/>
      <c r="F31" s="171"/>
      <c r="G31" s="171"/>
      <c r="H31" s="171"/>
      <c r="I31" s="171"/>
      <c r="J31" s="171"/>
      <c r="K31" s="175"/>
      <c r="L31" s="187"/>
      <c r="M31" s="171"/>
      <c r="N31" s="171"/>
      <c r="O31" s="171"/>
      <c r="P31" s="171"/>
      <c r="Q31" s="171"/>
      <c r="R31" s="175"/>
      <c r="S31" s="187"/>
      <c r="T31" s="171"/>
      <c r="U31" s="171"/>
      <c r="V31" s="171"/>
      <c r="W31" s="171"/>
      <c r="X31" s="171"/>
      <c r="Y31" s="175"/>
      <c r="Z31" s="187"/>
      <c r="AA31" s="171"/>
      <c r="AB31" s="171"/>
      <c r="AC31" s="171"/>
      <c r="AD31" s="171"/>
      <c r="AE31" s="171"/>
      <c r="AF31" s="175"/>
      <c r="AG31" s="182"/>
      <c r="AH31" s="158" t="str">
        <f>IFERROR(IF(INDEX(tblSRD[Shipping?],MATCH(B31,tblSRD[Menu Item],0))="Y",ROUNDDOWN($AG$21/INDEX(tblSRD[Units/cs],MATCH(B31,tblSRD[Menu Item],0)),0)*INDEX(tblSRD[Pct],MATCH(B31,tblSRD[Menu Item],0)),""),0)</f>
        <v/>
      </c>
      <c r="AI31" s="41">
        <f>IFERROR(IF($AG$21&lt;0,IF(INDEX(tblSRD[Shipping?],MATCH(B31,tblSRD[Menu Item],0))="Y",ROUNDUP((ROUNDUP($AG$21/INDEX(tblSRD[Units/cs],MATCH(B31,tblSRD[Menu Item],0)),0)*-1)*INDEX(tblSRD[Pct],MATCH(B31,tblSRD[Menu Item],0)),0),""),0),0)</f>
        <v>0</v>
      </c>
      <c r="AJ31" s="164">
        <f>IFERROR(IF(AI31&lt;&gt;"",AI31*(INDEX(tblSRD[Units/cs],MATCH(B31,tblSRD[Menu Item],0))),""),0)</f>
        <v>0</v>
      </c>
      <c r="AK31" s="178"/>
      <c r="AL31" s="28"/>
      <c r="AM31" s="8"/>
      <c r="AN31" s="11"/>
      <c r="AO31" s="55"/>
      <c r="AP31" s="11"/>
      <c r="AQ31" s="13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3"/>
      <c r="BO31" s="12"/>
      <c r="BP31" s="12"/>
      <c r="BQ31" s="13"/>
      <c r="BR31" s="8"/>
      <c r="BS31" s="8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3"/>
      <c r="CW31" s="12"/>
      <c r="CX31" s="12"/>
      <c r="CY31" s="13"/>
    </row>
    <row r="32" spans="1:103" ht="9" customHeight="1" x14ac:dyDescent="0.2">
      <c r="A32" s="190"/>
      <c r="B32" s="19" t="s">
        <v>22</v>
      </c>
      <c r="C32" s="40">
        <f>IFERROR(IF(ROUNDDOWN((INDEX(IUpdate,MATCH($B32,IMenu,0),MATCH(C$2,IInst,0))*INDEX(tblSRD[Units/cs],MATCH($B32,tblSRD[Menu Item],0))),0)&gt;0,ROUNDDOWN((INDEX(IUpdate,MATCH($B32,IMenu,0),MATCH(C$2,IInst,0))*INDEX(tblSRD[Units/cs],MATCH($B32,tblSRD[Menu Item],0))),0),0),0)</f>
        <v>0</v>
      </c>
      <c r="D32" s="193"/>
      <c r="E32" s="187"/>
      <c r="F32" s="171"/>
      <c r="G32" s="171"/>
      <c r="H32" s="171"/>
      <c r="I32" s="171"/>
      <c r="J32" s="171"/>
      <c r="K32" s="175"/>
      <c r="L32" s="187"/>
      <c r="M32" s="171"/>
      <c r="N32" s="171"/>
      <c r="O32" s="171"/>
      <c r="P32" s="171"/>
      <c r="Q32" s="171"/>
      <c r="R32" s="175"/>
      <c r="S32" s="187"/>
      <c r="T32" s="171"/>
      <c r="U32" s="171"/>
      <c r="V32" s="171"/>
      <c r="W32" s="171"/>
      <c r="X32" s="171"/>
      <c r="Y32" s="175"/>
      <c r="Z32" s="187"/>
      <c r="AA32" s="171"/>
      <c r="AB32" s="171"/>
      <c r="AC32" s="171"/>
      <c r="AD32" s="171"/>
      <c r="AE32" s="171"/>
      <c r="AF32" s="175"/>
      <c r="AG32" s="182"/>
      <c r="AH32" s="158" t="str">
        <f>IFERROR(IF(INDEX(tblSRD[Shipping?],MATCH(B32,tblSRD[Menu Item],0))="Y",ROUNDDOWN($AG$21/INDEX(tblSRD[Units/cs],MATCH(B32,tblSRD[Menu Item],0)),0)*INDEX(tblSRD[Pct],MATCH(B32,tblSRD[Menu Item],0)),""),0)</f>
        <v/>
      </c>
      <c r="AI32" s="41">
        <f>IFERROR(IF($AG$21&lt;0,IF(INDEX(tblSRD[Shipping?],MATCH(B32,tblSRD[Menu Item],0))="Y",ROUNDUP((ROUNDUP($AG$21/INDEX(tblSRD[Units/cs],MATCH(B32,tblSRD[Menu Item],0)),0)*-1)*INDEX(tblSRD[Pct],MATCH(B32,tblSRD[Menu Item],0)),0),""),0),0)</f>
        <v>0</v>
      </c>
      <c r="AJ32" s="164">
        <f>IFERROR(IF(AI32&lt;&gt;"",AI32*(INDEX(tblSRD[Units/cs],MATCH(B32,tblSRD[Menu Item],0))),""),0)</f>
        <v>0</v>
      </c>
      <c r="AK32" s="178"/>
      <c r="AL32" s="28"/>
      <c r="AM32" s="8"/>
      <c r="AN32" s="11"/>
      <c r="AO32" s="11"/>
      <c r="AP32" s="11"/>
      <c r="AQ32" s="13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3"/>
      <c r="BO32" s="12"/>
      <c r="BP32" s="12"/>
      <c r="BQ32" s="13"/>
      <c r="BR32" s="8"/>
      <c r="BS32" s="8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3"/>
      <c r="CW32" s="12"/>
      <c r="CX32" s="12"/>
      <c r="CY32" s="13"/>
    </row>
    <row r="33" spans="1:103" ht="9" customHeight="1" x14ac:dyDescent="0.2">
      <c r="A33" s="190"/>
      <c r="B33" s="19" t="s">
        <v>23</v>
      </c>
      <c r="C33" s="40">
        <f>IFERROR(IF(ROUNDDOWN((INDEX(IUpdate,MATCH($B33,IMenu,0),MATCH(C$2,IInst,0))*INDEX(tblSRD[Units/cs],MATCH($B33,tblSRD[Menu Item],0))),0)&gt;0,ROUNDDOWN((INDEX(IUpdate,MATCH($B33,IMenu,0),MATCH(C$2,IInst,0))*INDEX(tblSRD[Units/cs],MATCH($B33,tblSRD[Menu Item],0))),0),0),0)</f>
        <v>0</v>
      </c>
      <c r="D33" s="193"/>
      <c r="E33" s="187"/>
      <c r="F33" s="171"/>
      <c r="G33" s="171"/>
      <c r="H33" s="171"/>
      <c r="I33" s="171"/>
      <c r="J33" s="171"/>
      <c r="K33" s="175"/>
      <c r="L33" s="187"/>
      <c r="M33" s="171"/>
      <c r="N33" s="171"/>
      <c r="O33" s="171"/>
      <c r="P33" s="171"/>
      <c r="Q33" s="171"/>
      <c r="R33" s="175"/>
      <c r="S33" s="187"/>
      <c r="T33" s="171"/>
      <c r="U33" s="171"/>
      <c r="V33" s="171"/>
      <c r="W33" s="171"/>
      <c r="X33" s="171"/>
      <c r="Y33" s="175"/>
      <c r="Z33" s="187"/>
      <c r="AA33" s="171"/>
      <c r="AB33" s="171"/>
      <c r="AC33" s="171"/>
      <c r="AD33" s="171"/>
      <c r="AE33" s="171"/>
      <c r="AF33" s="175"/>
      <c r="AG33" s="182"/>
      <c r="AH33" s="158" t="str">
        <f>IFERROR(IF(INDEX(tblSRD[Shipping?],MATCH(B33,tblSRD[Menu Item],0))="Y",ROUNDDOWN($AG$21/INDEX(tblSRD[Units/cs],MATCH(B33,tblSRD[Menu Item],0)),0)*INDEX(tblSRD[Pct],MATCH(B33,tblSRD[Menu Item],0)),""),0)</f>
        <v/>
      </c>
      <c r="AI33" s="41">
        <f>IFERROR(IF($AG$21&lt;0,IF(INDEX(tblSRD[Shipping?],MATCH(B33,tblSRD[Menu Item],0))="Y",ROUNDUP((ROUNDUP($AG$21/INDEX(tblSRD[Units/cs],MATCH(B33,tblSRD[Menu Item],0)),0)*-1)*INDEX(tblSRD[Pct],MATCH(B33,tblSRD[Menu Item],0)),0),""),0),0)</f>
        <v>0</v>
      </c>
      <c r="AJ33" s="164">
        <f>IFERROR(IF(AI33&lt;&gt;"",AI33*(INDEX(tblSRD[Units/cs],MATCH(B33,tblSRD[Menu Item],0))),""),0)</f>
        <v>0</v>
      </c>
      <c r="AK33" s="178"/>
      <c r="AL33" s="28"/>
      <c r="AM33" s="8"/>
      <c r="AN33" s="11"/>
      <c r="AO33" s="57"/>
      <c r="AP33" s="11"/>
      <c r="AQ33" s="13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3"/>
      <c r="BO33" s="12"/>
      <c r="BP33" s="12"/>
      <c r="BQ33" s="13"/>
      <c r="BR33" s="8"/>
      <c r="BS33" s="8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3"/>
      <c r="CW33" s="12"/>
      <c r="CX33" s="12"/>
      <c r="CY33" s="13"/>
    </row>
    <row r="34" spans="1:103" ht="9" customHeight="1" x14ac:dyDescent="0.2">
      <c r="A34" s="190"/>
      <c r="B34" s="19" t="s">
        <v>24</v>
      </c>
      <c r="C34" s="40">
        <f>IFERROR(IF(ROUNDDOWN((INDEX(IUpdate,MATCH($B34,IMenu,0),MATCH(C$2,IInst,0))*INDEX(tblSRD[Units/cs],MATCH($B34,tblSRD[Menu Item],0))),0)&gt;0,ROUNDDOWN((INDEX(IUpdate,MATCH($B34,IMenu,0),MATCH(C$2,IInst,0))*INDEX(tblSRD[Units/cs],MATCH($B34,tblSRD[Menu Item],0))),0),0),0)</f>
        <v>0</v>
      </c>
      <c r="D34" s="193"/>
      <c r="E34" s="187"/>
      <c r="F34" s="171"/>
      <c r="G34" s="171"/>
      <c r="H34" s="171"/>
      <c r="I34" s="171"/>
      <c r="J34" s="171"/>
      <c r="K34" s="175"/>
      <c r="L34" s="187"/>
      <c r="M34" s="171"/>
      <c r="N34" s="171"/>
      <c r="O34" s="171"/>
      <c r="P34" s="171"/>
      <c r="Q34" s="171"/>
      <c r="R34" s="175"/>
      <c r="S34" s="187"/>
      <c r="T34" s="171"/>
      <c r="U34" s="171"/>
      <c r="V34" s="171"/>
      <c r="W34" s="171"/>
      <c r="X34" s="171"/>
      <c r="Y34" s="175"/>
      <c r="Z34" s="187"/>
      <c r="AA34" s="171"/>
      <c r="AB34" s="171"/>
      <c r="AC34" s="171"/>
      <c r="AD34" s="171"/>
      <c r="AE34" s="171"/>
      <c r="AF34" s="175"/>
      <c r="AG34" s="182"/>
      <c r="AH34" s="158" t="str">
        <f>IFERROR(IF(INDEX(tblSRD[Shipping?],MATCH(B34,tblSRD[Menu Item],0))="Y",ROUNDDOWN($AG$21/INDEX(tblSRD[Units/cs],MATCH(B34,tblSRD[Menu Item],0)),0)*INDEX(tblSRD[Pct],MATCH(B34,tblSRD[Menu Item],0)),""),0)</f>
        <v/>
      </c>
      <c r="AI34" s="41">
        <f>IFERROR(IF($AG$21&lt;0,IF(INDEX(tblSRD[Shipping?],MATCH(B34,tblSRD[Menu Item],0))="Y",ROUNDUP((ROUNDUP($AG$21/INDEX(tblSRD[Units/cs],MATCH(B34,tblSRD[Menu Item],0)),0)*-1)*INDEX(tblSRD[Pct],MATCH(B34,tblSRD[Menu Item],0)),0),""),0),0)</f>
        <v>0</v>
      </c>
      <c r="AJ34" s="164">
        <f>IFERROR(IF(AI34&lt;&gt;"",AI34*(INDEX(tblSRD[Units/cs],MATCH(B34,tblSRD[Menu Item],0))),""),0)</f>
        <v>0</v>
      </c>
      <c r="AK34" s="178"/>
      <c r="AL34" s="28"/>
      <c r="AM34" s="8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3"/>
      <c r="BO34" s="12"/>
      <c r="BP34" s="12"/>
      <c r="BQ34" s="13"/>
      <c r="BR34" s="8"/>
      <c r="BS34" s="8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3"/>
      <c r="CW34" s="12"/>
      <c r="CX34" s="12"/>
      <c r="CY34" s="13"/>
    </row>
    <row r="35" spans="1:103" ht="9" customHeight="1" x14ac:dyDescent="0.2">
      <c r="A35" s="190"/>
      <c r="B35" s="19" t="s">
        <v>25</v>
      </c>
      <c r="C35" s="40">
        <f>IFERROR(IF(ROUNDDOWN((INDEX(IUpdate,MATCH($B35,IMenu,0),MATCH(C$2,IInst,0))*INDEX(tblSRD[Units/cs],MATCH($B35,tblSRD[Menu Item],0))),0)&gt;0,ROUNDDOWN((INDEX(IUpdate,MATCH($B35,IMenu,0),MATCH(C$2,IInst,0))*INDEX(tblSRD[Units/cs],MATCH($B35,tblSRD[Menu Item],0))),0),0),0)</f>
        <v>0</v>
      </c>
      <c r="D35" s="193"/>
      <c r="E35" s="187"/>
      <c r="F35" s="171"/>
      <c r="G35" s="171"/>
      <c r="H35" s="171"/>
      <c r="I35" s="171"/>
      <c r="J35" s="171"/>
      <c r="K35" s="175"/>
      <c r="L35" s="187"/>
      <c r="M35" s="171"/>
      <c r="N35" s="171"/>
      <c r="O35" s="171"/>
      <c r="P35" s="171"/>
      <c r="Q35" s="171"/>
      <c r="R35" s="175"/>
      <c r="S35" s="187"/>
      <c r="T35" s="171"/>
      <c r="U35" s="171"/>
      <c r="V35" s="171"/>
      <c r="W35" s="171"/>
      <c r="X35" s="171"/>
      <c r="Y35" s="175"/>
      <c r="Z35" s="187"/>
      <c r="AA35" s="171"/>
      <c r="AB35" s="171"/>
      <c r="AC35" s="171"/>
      <c r="AD35" s="171"/>
      <c r="AE35" s="171"/>
      <c r="AF35" s="175"/>
      <c r="AG35" s="182"/>
      <c r="AH35" s="158" t="str">
        <f>IFERROR(IF(INDEX(tblSRD[Shipping?],MATCH(B35,tblSRD[Menu Item],0))="Y",ROUNDDOWN($AG$21/INDEX(tblSRD[Units/cs],MATCH(B35,tblSRD[Menu Item],0)),0)*INDEX(tblSRD[Pct],MATCH(B35,tblSRD[Menu Item],0)),""),0)</f>
        <v/>
      </c>
      <c r="AI35" s="41">
        <f>IFERROR(IF($AG$21&lt;0,IF(INDEX(tblSRD[Shipping?],MATCH(B35,tblSRD[Menu Item],0))="Y",ROUNDUP((ROUNDUP($AG$21/INDEX(tblSRD[Units/cs],MATCH(B35,tblSRD[Menu Item],0)),0)*-1)*INDEX(tblSRD[Pct],MATCH(B35,tblSRD[Menu Item],0)),0),""),0),0)</f>
        <v>0</v>
      </c>
      <c r="AJ35" s="168">
        <f>IFERROR(IF(AI35&lt;&gt;"",AI35*(INDEX(tblSRD[Units/cs],MATCH(B35,tblSRD[Menu Item],0))),""),0)</f>
        <v>0</v>
      </c>
      <c r="AK35" s="178"/>
      <c r="AL35" s="28"/>
      <c r="AM35" s="8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3"/>
      <c r="BO35" s="12"/>
      <c r="BP35" s="12"/>
      <c r="BQ35" s="13"/>
      <c r="BR35" s="8"/>
      <c r="BS35" s="8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3"/>
      <c r="CW35" s="12"/>
      <c r="CX35" s="12"/>
      <c r="CY35" s="13"/>
    </row>
    <row r="36" spans="1:103" ht="9" customHeight="1" x14ac:dyDescent="0.2">
      <c r="A36" s="190"/>
      <c r="B36" s="19" t="s">
        <v>57</v>
      </c>
      <c r="C36" s="40">
        <f>IFERROR(IF(ROUNDDOWN((INDEX(IUpdate,MATCH($B36,IMenu,0),MATCH(C$2,IInst,0))*INDEX(tblSRD[Units/cs],MATCH($B36,tblSRD[Menu Item],0))),0)&gt;0,ROUNDDOWN((INDEX(IUpdate,MATCH($B36,IMenu,0),MATCH(C$2,IInst,0))*INDEX(tblSRD[Units/cs],MATCH($B36,tblSRD[Menu Item],0))),0),0),0)</f>
        <v>0</v>
      </c>
      <c r="D36" s="193"/>
      <c r="E36" s="187"/>
      <c r="F36" s="171"/>
      <c r="G36" s="171"/>
      <c r="H36" s="171"/>
      <c r="I36" s="171"/>
      <c r="J36" s="171"/>
      <c r="K36" s="175"/>
      <c r="L36" s="187"/>
      <c r="M36" s="171"/>
      <c r="N36" s="171"/>
      <c r="O36" s="171"/>
      <c r="P36" s="171"/>
      <c r="Q36" s="171"/>
      <c r="R36" s="175"/>
      <c r="S36" s="187"/>
      <c r="T36" s="171"/>
      <c r="U36" s="171"/>
      <c r="V36" s="171"/>
      <c r="W36" s="171"/>
      <c r="X36" s="171"/>
      <c r="Y36" s="175"/>
      <c r="Z36" s="187"/>
      <c r="AA36" s="171"/>
      <c r="AB36" s="171"/>
      <c r="AC36" s="171"/>
      <c r="AD36" s="171"/>
      <c r="AE36" s="171"/>
      <c r="AF36" s="175"/>
      <c r="AG36" s="182"/>
      <c r="AH36" s="158">
        <f>IFERROR(IF(INDEX(tblSRD[Shipping?],MATCH(B36,tblSRD[Menu Item],0))="Y",ROUNDDOWN($AG$21/INDEX(tblSRD[Units/cs],MATCH(B36,tblSRD[Menu Item],0)),0)*INDEX(tblSRD[Pct],MATCH(B36,tblSRD[Menu Item],0)),""),0)</f>
        <v>4.333333333333333</v>
      </c>
      <c r="AI36" s="41">
        <f>IFERROR(IF($AG$21&lt;0,IF(INDEX(tblSRD[Shipping?],MATCH(B36,tblSRD[Menu Item],0))="Y",ROUNDUP((ROUNDUP($AG$21/INDEX(tblSRD[Units/cs],MATCH(B36,tblSRD[Menu Item],0)),0)*-1)*INDEX(tblSRD[Pct],MATCH(B36,tblSRD[Menu Item],0)),0),""),0),0)</f>
        <v>0</v>
      </c>
      <c r="AJ36" s="168">
        <f>IFERROR(IF(AI36&lt;&gt;"",AI36*(INDEX(tblSRD[Units/cs],MATCH(B36,tblSRD[Menu Item],0))),""),0)</f>
        <v>0</v>
      </c>
      <c r="AK36" s="178"/>
      <c r="AL36" s="28"/>
      <c r="AM36" s="8"/>
      <c r="AN36" s="11"/>
      <c r="AO36" s="11"/>
      <c r="AP36" s="11"/>
      <c r="AQ36" s="90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3"/>
      <c r="BO36" s="12"/>
      <c r="BP36" s="12"/>
      <c r="BQ36" s="13"/>
      <c r="BR36" s="8"/>
      <c r="BS36" s="8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3"/>
      <c r="CW36" s="12"/>
      <c r="CX36" s="12"/>
      <c r="CY36" s="13"/>
    </row>
    <row r="37" spans="1:103" ht="9" customHeight="1" x14ac:dyDescent="0.2">
      <c r="A37" s="190"/>
      <c r="B37" s="19" t="s">
        <v>48</v>
      </c>
      <c r="C37" s="40">
        <f>IFERROR(IF(ROUNDDOWN((INDEX(IUpdate,MATCH($B37,IMenu,0),MATCH(C$2,IInst,0))*INDEX(tblSRD[Units/cs],MATCH($B37,tblSRD[Menu Item],0))),0)&gt;0,ROUNDDOWN((INDEX(IUpdate,MATCH($B37,IMenu,0),MATCH(C$2,IInst,0))*INDEX(tblSRD[Units/cs],MATCH($B37,tblSRD[Menu Item],0))),0),0),0)</f>
        <v>0</v>
      </c>
      <c r="D37" s="193"/>
      <c r="E37" s="187"/>
      <c r="F37" s="171"/>
      <c r="G37" s="171"/>
      <c r="H37" s="171"/>
      <c r="I37" s="171"/>
      <c r="J37" s="171"/>
      <c r="K37" s="175"/>
      <c r="L37" s="187"/>
      <c r="M37" s="171"/>
      <c r="N37" s="171"/>
      <c r="O37" s="171"/>
      <c r="P37" s="171"/>
      <c r="Q37" s="171"/>
      <c r="R37" s="175"/>
      <c r="S37" s="187"/>
      <c r="T37" s="171"/>
      <c r="U37" s="171"/>
      <c r="V37" s="171"/>
      <c r="W37" s="171"/>
      <c r="X37" s="171"/>
      <c r="Y37" s="175"/>
      <c r="Z37" s="187"/>
      <c r="AA37" s="171"/>
      <c r="AB37" s="171"/>
      <c r="AC37" s="171"/>
      <c r="AD37" s="171"/>
      <c r="AE37" s="171"/>
      <c r="AF37" s="175"/>
      <c r="AG37" s="182"/>
      <c r="AH37" s="158">
        <f>IFERROR(IF(INDEX(tblSRD[Shipping?],MATCH(B37,tblSRD[Menu Item],0))="Y",ROUNDDOWN($AG$21/INDEX(tblSRD[Units/cs],MATCH(B37,tblSRD[Menu Item],0)),0)*INDEX(tblSRD[Pct],MATCH(B37,tblSRD[Menu Item],0)),""),0)</f>
        <v>4.333333333333333</v>
      </c>
      <c r="AI37" s="41">
        <f>IFERROR(IF($AG$21&lt;0,IF(INDEX(tblSRD[Shipping?],MATCH(B37,tblSRD[Menu Item],0))="Y",ROUNDUP((ROUNDUP($AG$21/INDEX(tblSRD[Units/cs],MATCH(B37,tblSRD[Menu Item],0)),0)*-1)*INDEX(tblSRD[Pct],MATCH(B37,tblSRD[Menu Item],0)),0),""),0),0)</f>
        <v>0</v>
      </c>
      <c r="AJ37" s="168">
        <f>IFERROR(IF(AI37&lt;&gt;"",AI37*(INDEX(tblSRD[Units/cs],MATCH(B37,tblSRD[Menu Item],0))),""),0)</f>
        <v>0</v>
      </c>
      <c r="AK37" s="178"/>
      <c r="AL37" s="28"/>
      <c r="AM37" s="8"/>
      <c r="AN37" s="11"/>
      <c r="AO37" s="11"/>
      <c r="AP37" s="11"/>
      <c r="AQ37" s="90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3"/>
      <c r="BO37" s="12"/>
      <c r="BP37" s="12"/>
      <c r="BQ37" s="13"/>
      <c r="BR37" s="8"/>
      <c r="BS37" s="8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3"/>
      <c r="CW37" s="12"/>
      <c r="CX37" s="12"/>
      <c r="CY37" s="13"/>
    </row>
    <row r="38" spans="1:103" ht="9" customHeight="1" x14ac:dyDescent="0.2">
      <c r="A38" s="190"/>
      <c r="B38" s="19" t="s">
        <v>54</v>
      </c>
      <c r="C38" s="40">
        <f>IFERROR(IF(ROUNDDOWN((INDEX(IUpdate,MATCH($B38,IMenu,0),MATCH(C$2,IInst,0))*INDEX(tblSRD[Units/cs],MATCH($B38,tblSRD[Menu Item],0))),0)&gt;0,ROUNDDOWN((INDEX(IUpdate,MATCH($B38,IMenu,0),MATCH(C$2,IInst,0))*INDEX(tblSRD[Units/cs],MATCH($B38,tblSRD[Menu Item],0))),0),0),0)</f>
        <v>0</v>
      </c>
      <c r="D38" s="193"/>
      <c r="E38" s="187"/>
      <c r="F38" s="171"/>
      <c r="G38" s="171"/>
      <c r="H38" s="171"/>
      <c r="I38" s="171"/>
      <c r="J38" s="171"/>
      <c r="K38" s="175"/>
      <c r="L38" s="187"/>
      <c r="M38" s="171"/>
      <c r="N38" s="171"/>
      <c r="O38" s="171"/>
      <c r="P38" s="171"/>
      <c r="Q38" s="171"/>
      <c r="R38" s="175"/>
      <c r="S38" s="187"/>
      <c r="T38" s="171"/>
      <c r="U38" s="171"/>
      <c r="V38" s="171"/>
      <c r="W38" s="171"/>
      <c r="X38" s="171"/>
      <c r="Y38" s="175"/>
      <c r="Z38" s="187"/>
      <c r="AA38" s="171"/>
      <c r="AB38" s="171"/>
      <c r="AC38" s="171"/>
      <c r="AD38" s="171"/>
      <c r="AE38" s="171"/>
      <c r="AF38" s="175"/>
      <c r="AG38" s="182"/>
      <c r="AH38" s="158">
        <f>IFERROR(IF(INDEX(tblSRD[Shipping?],MATCH(B38,tblSRD[Menu Item],0))="Y",ROUNDDOWN($AG$21/INDEX(tblSRD[Units/cs],MATCH(B38,tblSRD[Menu Item],0)),0)*INDEX(tblSRD[Pct],MATCH(B38,tblSRD[Menu Item],0)),""),0)</f>
        <v>4.333333333333333</v>
      </c>
      <c r="AI38" s="41">
        <f>IFERROR(IF($AG$21&lt;0,IF(INDEX(tblSRD[Shipping?],MATCH(B38,tblSRD[Menu Item],0))="Y",ROUNDUP((ROUNDUP($AG$21/INDEX(tblSRD[Units/cs],MATCH(B38,tblSRD[Menu Item],0)),0)*-1)*INDEX(tblSRD[Pct],MATCH(B38,tblSRD[Menu Item],0)),0),""),0),0)</f>
        <v>0</v>
      </c>
      <c r="AJ38" s="168">
        <f>IFERROR(IF(AI38&lt;&gt;"",AI38*(INDEX(tblSRD[Units/cs],MATCH(B38,tblSRD[Menu Item],0))),""),0)</f>
        <v>0</v>
      </c>
      <c r="AK38" s="178"/>
      <c r="AL38" s="28"/>
      <c r="AM38" s="8"/>
      <c r="AN38" s="11"/>
      <c r="AO38" s="11"/>
      <c r="AP38" s="11"/>
      <c r="AQ38" s="90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3"/>
      <c r="BO38" s="12"/>
      <c r="BP38" s="12"/>
      <c r="BQ38" s="13"/>
      <c r="BR38" s="8"/>
      <c r="BS38" s="8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3"/>
      <c r="CW38" s="12"/>
      <c r="CX38" s="12"/>
      <c r="CY38" s="13"/>
    </row>
    <row r="39" spans="1:103" ht="9" customHeight="1" x14ac:dyDescent="0.2">
      <c r="A39" s="190"/>
      <c r="B39" s="19" t="s">
        <v>56</v>
      </c>
      <c r="C39" s="40">
        <f>IFERROR(IF(ROUNDDOWN((INDEX(IUpdate,MATCH($B39,IMenu,0),MATCH(C$2,IInst,0))*INDEX(tblSRD[Units/cs],MATCH($B39,tblSRD[Menu Item],0))),0)&gt;0,ROUNDDOWN((INDEX(IUpdate,MATCH($B39,IMenu,0),MATCH(C$2,IInst,0))*INDEX(tblSRD[Units/cs],MATCH($B39,tblSRD[Menu Item],0))),0),0),0)</f>
        <v>0</v>
      </c>
      <c r="D39" s="193"/>
      <c r="E39" s="187"/>
      <c r="F39" s="171"/>
      <c r="G39" s="171"/>
      <c r="H39" s="171"/>
      <c r="I39" s="171"/>
      <c r="J39" s="171"/>
      <c r="K39" s="175"/>
      <c r="L39" s="187"/>
      <c r="M39" s="171"/>
      <c r="N39" s="171"/>
      <c r="O39" s="171"/>
      <c r="P39" s="171"/>
      <c r="Q39" s="171"/>
      <c r="R39" s="175"/>
      <c r="S39" s="187"/>
      <c r="T39" s="171"/>
      <c r="U39" s="171"/>
      <c r="V39" s="171"/>
      <c r="W39" s="171"/>
      <c r="X39" s="171"/>
      <c r="Y39" s="175"/>
      <c r="Z39" s="187"/>
      <c r="AA39" s="171"/>
      <c r="AB39" s="171"/>
      <c r="AC39" s="171"/>
      <c r="AD39" s="171"/>
      <c r="AE39" s="171"/>
      <c r="AF39" s="175"/>
      <c r="AG39" s="182"/>
      <c r="AH39" s="158">
        <f>IFERROR(IF(INDEX(tblSRD[Shipping?],MATCH(B39,tblSRD[Menu Item],0))="Y",ROUNDDOWN($AG$21/INDEX(tblSRD[Units/cs],MATCH(B39,tblSRD[Menu Item],0)),0)*INDEX(tblSRD[Pct],MATCH(B39,tblSRD[Menu Item],0)),""),0)</f>
        <v>4.333333333333333</v>
      </c>
      <c r="AI39" s="41">
        <f>IFERROR(IF($AG$21&lt;0,IF(INDEX(tblSRD[Shipping?],MATCH(B39,tblSRD[Menu Item],0))="Y",ROUNDUP((ROUNDUP($AG$21/INDEX(tblSRD[Units/cs],MATCH(B39,tblSRD[Menu Item],0)),0)*-1)*INDEX(tblSRD[Pct],MATCH(B39,tblSRD[Menu Item],0)),0),""),0),0)</f>
        <v>0</v>
      </c>
      <c r="AJ39" s="168">
        <f>IFERROR(IF(AI39&lt;&gt;"",AI39*(INDEX(tblSRD[Units/cs],MATCH(B39,tblSRD[Menu Item],0))),""),0)</f>
        <v>0</v>
      </c>
      <c r="AK39" s="178"/>
      <c r="AL39" s="28"/>
      <c r="AM39" s="8"/>
      <c r="AN39" s="11"/>
      <c r="AO39" s="11"/>
      <c r="AP39" s="11"/>
      <c r="AQ39" s="90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3"/>
      <c r="BO39" s="12"/>
      <c r="BP39" s="12"/>
      <c r="BQ39" s="13"/>
      <c r="BR39" s="8"/>
      <c r="BS39" s="8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3"/>
      <c r="CW39" s="12"/>
      <c r="CX39" s="12"/>
      <c r="CY39" s="13"/>
    </row>
    <row r="40" spans="1:103" ht="9" customHeight="1" x14ac:dyDescent="0.2">
      <c r="A40" s="190"/>
      <c r="B40" s="19" t="s">
        <v>49</v>
      </c>
      <c r="C40" s="40">
        <f>IFERROR(IF(ROUNDDOWN((INDEX(IUpdate,MATCH($B40,IMenu,0),MATCH(C$2,IInst,0))*INDEX(tblSRD[Units/cs],MATCH($B40,tblSRD[Menu Item],0))),0)&gt;0,ROUNDDOWN((INDEX(IUpdate,MATCH($B40,IMenu,0),MATCH(C$2,IInst,0))*INDEX(tblSRD[Units/cs],MATCH($B40,tblSRD[Menu Item],0))),0),0),0)</f>
        <v>0</v>
      </c>
      <c r="D40" s="193"/>
      <c r="E40" s="187"/>
      <c r="F40" s="171"/>
      <c r="G40" s="171"/>
      <c r="H40" s="171"/>
      <c r="I40" s="171"/>
      <c r="J40" s="171"/>
      <c r="K40" s="175"/>
      <c r="L40" s="187"/>
      <c r="M40" s="171"/>
      <c r="N40" s="171"/>
      <c r="O40" s="171"/>
      <c r="P40" s="171"/>
      <c r="Q40" s="171"/>
      <c r="R40" s="175"/>
      <c r="S40" s="187"/>
      <c r="T40" s="171"/>
      <c r="U40" s="171"/>
      <c r="V40" s="171"/>
      <c r="W40" s="171"/>
      <c r="X40" s="171"/>
      <c r="Y40" s="175"/>
      <c r="Z40" s="187"/>
      <c r="AA40" s="171"/>
      <c r="AB40" s="171"/>
      <c r="AC40" s="171"/>
      <c r="AD40" s="171"/>
      <c r="AE40" s="171"/>
      <c r="AF40" s="175"/>
      <c r="AG40" s="182"/>
      <c r="AH40" s="158">
        <f>IFERROR(IF(INDEX(tblSRD[Shipping?],MATCH(B40,tblSRD[Menu Item],0))="Y",ROUNDDOWN($AG$21/INDEX(tblSRD[Units/cs],MATCH(B40,tblSRD[Menu Item],0)),0)*INDEX(tblSRD[Pct],MATCH(B40,tblSRD[Menu Item],0)),""),0)</f>
        <v>4.333333333333333</v>
      </c>
      <c r="AI40" s="41">
        <f>IFERROR(IF($AG$21&lt;0,IF(INDEX(tblSRD[Shipping?],MATCH(B40,tblSRD[Menu Item],0))="Y",ROUNDUP((ROUNDUP($AG$21/INDEX(tblSRD[Units/cs],MATCH(B40,tblSRD[Menu Item],0)),0)*-1)*INDEX(tblSRD[Pct],MATCH(B40,tblSRD[Menu Item],0)),0),""),0),0)</f>
        <v>0</v>
      </c>
      <c r="AJ40" s="168">
        <f>IFERROR(IF(AI40&lt;&gt;"",AI40*(INDEX(tblSRD[Units/cs],MATCH(B40,tblSRD[Menu Item],0))),""),0)</f>
        <v>0</v>
      </c>
      <c r="AK40" s="178"/>
      <c r="AL40" s="28"/>
      <c r="AM40" s="8"/>
      <c r="AN40" s="11"/>
      <c r="AO40" s="11"/>
      <c r="AP40" s="11"/>
      <c r="AQ40" s="90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3"/>
      <c r="BO40" s="12"/>
      <c r="BP40" s="12"/>
      <c r="BQ40" s="13"/>
      <c r="BR40" s="8"/>
      <c r="BS40" s="8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3"/>
      <c r="CW40" s="12"/>
      <c r="CX40" s="12"/>
      <c r="CY40" s="13"/>
    </row>
    <row r="41" spans="1:103" ht="9" customHeight="1" x14ac:dyDescent="0.2">
      <c r="A41" s="190"/>
      <c r="B41" s="19" t="s">
        <v>51</v>
      </c>
      <c r="C41" s="40">
        <f>IFERROR(IF(ROUNDDOWN((INDEX(IUpdate,MATCH($B41,IMenu,0),MATCH(C$2,IInst,0))*INDEX(tblSRD[Units/cs],MATCH($B41,tblSRD[Menu Item],0))),0)&gt;0,ROUNDDOWN((INDEX(IUpdate,MATCH($B41,IMenu,0),MATCH(C$2,IInst,0))*INDEX(tblSRD[Units/cs],MATCH($B41,tblSRD[Menu Item],0))),0),0),0)</f>
        <v>0</v>
      </c>
      <c r="D41" s="193"/>
      <c r="E41" s="187"/>
      <c r="F41" s="171"/>
      <c r="G41" s="171"/>
      <c r="H41" s="171"/>
      <c r="I41" s="171"/>
      <c r="J41" s="171"/>
      <c r="K41" s="175"/>
      <c r="L41" s="187"/>
      <c r="M41" s="171"/>
      <c r="N41" s="171"/>
      <c r="O41" s="171"/>
      <c r="P41" s="171"/>
      <c r="Q41" s="171"/>
      <c r="R41" s="175"/>
      <c r="S41" s="187"/>
      <c r="T41" s="171"/>
      <c r="U41" s="171"/>
      <c r="V41" s="171"/>
      <c r="W41" s="171"/>
      <c r="X41" s="171"/>
      <c r="Y41" s="175"/>
      <c r="Z41" s="187"/>
      <c r="AA41" s="171"/>
      <c r="AB41" s="171"/>
      <c r="AC41" s="171"/>
      <c r="AD41" s="171"/>
      <c r="AE41" s="171"/>
      <c r="AF41" s="175"/>
      <c r="AG41" s="182"/>
      <c r="AH41" s="158">
        <f>IFERROR(IF(INDEX(tblSRD[Shipping?],MATCH(B41,tblSRD[Menu Item],0))="Y",ROUNDDOWN($AG$21/INDEX(tblSRD[Units/cs],MATCH(B41,tblSRD[Menu Item],0)),0)*INDEX(tblSRD[Pct],MATCH(B41,tblSRD[Menu Item],0)),""),0)</f>
        <v>4.333333333333333</v>
      </c>
      <c r="AI41" s="41">
        <f>IFERROR(IF($AG$21&lt;0,IF(INDEX(tblSRD[Shipping?],MATCH(B41,tblSRD[Menu Item],0))="Y",ROUNDUP((ROUNDUP($AG$21/INDEX(tblSRD[Units/cs],MATCH(B41,tblSRD[Menu Item],0)),0)*-1)*INDEX(tblSRD[Pct],MATCH(B41,tblSRD[Menu Item],0)),0),""),0),0)</f>
        <v>0</v>
      </c>
      <c r="AJ41" s="168">
        <f>IFERROR(IF(AI41&lt;&gt;"",AI41*(INDEX(tblSRD[Units/cs],MATCH(B41,tblSRD[Menu Item],0))),""),0)</f>
        <v>0</v>
      </c>
      <c r="AK41" s="178"/>
      <c r="AL41" s="28"/>
      <c r="AM41" s="8"/>
      <c r="AN41" s="11"/>
      <c r="AO41" s="11"/>
      <c r="AP41" s="11"/>
      <c r="AQ41" s="90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3"/>
      <c r="BO41" s="12"/>
      <c r="BP41" s="12"/>
      <c r="BQ41" s="13"/>
      <c r="BR41" s="8"/>
      <c r="BS41" s="8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3"/>
      <c r="CW41" s="12"/>
      <c r="CX41" s="12"/>
      <c r="CY41" s="13"/>
    </row>
    <row r="42" spans="1:103" ht="9" customHeight="1" x14ac:dyDescent="0.2">
      <c r="A42" s="190"/>
      <c r="B42" s="19" t="s">
        <v>53</v>
      </c>
      <c r="C42" s="40">
        <f>IFERROR(IF(ROUNDDOWN((INDEX(IUpdate,MATCH($B42,IMenu,0),MATCH(C$2,IInst,0))*INDEX(tblSRD[Units/cs],MATCH($B42,tblSRD[Menu Item],0))),0)&gt;0,ROUNDDOWN((INDEX(IUpdate,MATCH($B42,IMenu,0),MATCH(C$2,IInst,0))*INDEX(tblSRD[Units/cs],MATCH($B42,tblSRD[Menu Item],0))),0),0),0)</f>
        <v>0</v>
      </c>
      <c r="D42" s="193"/>
      <c r="E42" s="187"/>
      <c r="F42" s="171"/>
      <c r="G42" s="171"/>
      <c r="H42" s="171"/>
      <c r="I42" s="171"/>
      <c r="J42" s="171"/>
      <c r="K42" s="175"/>
      <c r="L42" s="187"/>
      <c r="M42" s="171"/>
      <c r="N42" s="171"/>
      <c r="O42" s="171"/>
      <c r="P42" s="171"/>
      <c r="Q42" s="171"/>
      <c r="R42" s="175"/>
      <c r="S42" s="187"/>
      <c r="T42" s="171"/>
      <c r="U42" s="171"/>
      <c r="V42" s="171"/>
      <c r="W42" s="171"/>
      <c r="X42" s="171"/>
      <c r="Y42" s="175"/>
      <c r="Z42" s="187"/>
      <c r="AA42" s="171"/>
      <c r="AB42" s="171"/>
      <c r="AC42" s="171"/>
      <c r="AD42" s="171"/>
      <c r="AE42" s="171"/>
      <c r="AF42" s="175"/>
      <c r="AG42" s="182"/>
      <c r="AH42" s="158">
        <f>IFERROR(IF(INDEX(tblSRD[Shipping?],MATCH(B42,tblSRD[Menu Item],0))="Y",ROUNDDOWN($AG$21/INDEX(tblSRD[Units/cs],MATCH(B42,tblSRD[Menu Item],0)),0)*INDEX(tblSRD[Pct],MATCH(B42,tblSRD[Menu Item],0)),""),0)</f>
        <v>3.25</v>
      </c>
      <c r="AI42" s="41">
        <f>IFERROR(IF($AG$21&lt;0,IF(INDEX(tblSRD[Shipping?],MATCH(B42,tblSRD[Menu Item],0))="Y",ROUNDUP((ROUNDUP($AG$21/INDEX(tblSRD[Units/cs],MATCH(B42,tblSRD[Menu Item],0)),0)*-1)*INDEX(tblSRD[Pct],MATCH(B42,tblSRD[Menu Item],0)),0),""),0),0)</f>
        <v>0</v>
      </c>
      <c r="AJ42" s="168">
        <f>IFERROR(IF(AI42&lt;&gt;"",AI42*(INDEX(tblSRD[Units/cs],MATCH(B42,tblSRD[Menu Item],0))),""),0)</f>
        <v>0</v>
      </c>
      <c r="AK42" s="178"/>
      <c r="AL42" s="28"/>
      <c r="AM42" s="8"/>
      <c r="AN42" s="11"/>
      <c r="AO42" s="11"/>
      <c r="AP42" s="11"/>
      <c r="AQ42" s="90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3"/>
      <c r="BO42" s="12"/>
      <c r="BP42" s="12"/>
      <c r="BQ42" s="13"/>
      <c r="BR42" s="8"/>
      <c r="BS42" s="8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3"/>
      <c r="CW42" s="12"/>
      <c r="CX42" s="12"/>
      <c r="CY42" s="13"/>
    </row>
    <row r="43" spans="1:103" ht="9" customHeight="1" x14ac:dyDescent="0.2">
      <c r="A43" s="190"/>
      <c r="B43" s="19" t="s">
        <v>55</v>
      </c>
      <c r="C43" s="40">
        <f>IFERROR(IF(ROUNDDOWN((INDEX(IUpdate,MATCH($B43,IMenu,0),MATCH(C$2,IInst,0))*INDEX(tblSRD[Units/cs],MATCH($B43,tblSRD[Menu Item],0))),0)&gt;0,ROUNDDOWN((INDEX(IUpdate,MATCH($B43,IMenu,0),MATCH(C$2,IInst,0))*INDEX(tblSRD[Units/cs],MATCH($B43,tblSRD[Menu Item],0))),0),0),0)</f>
        <v>0</v>
      </c>
      <c r="D43" s="193"/>
      <c r="E43" s="187"/>
      <c r="F43" s="171"/>
      <c r="G43" s="171"/>
      <c r="H43" s="171"/>
      <c r="I43" s="171"/>
      <c r="J43" s="171"/>
      <c r="K43" s="175"/>
      <c r="L43" s="187"/>
      <c r="M43" s="171"/>
      <c r="N43" s="171"/>
      <c r="O43" s="171"/>
      <c r="P43" s="171"/>
      <c r="Q43" s="171"/>
      <c r="R43" s="175"/>
      <c r="S43" s="187"/>
      <c r="T43" s="171"/>
      <c r="U43" s="171"/>
      <c r="V43" s="171"/>
      <c r="W43" s="171"/>
      <c r="X43" s="171"/>
      <c r="Y43" s="175"/>
      <c r="Z43" s="187"/>
      <c r="AA43" s="171"/>
      <c r="AB43" s="171"/>
      <c r="AC43" s="171"/>
      <c r="AD43" s="171"/>
      <c r="AE43" s="171"/>
      <c r="AF43" s="175"/>
      <c r="AG43" s="182"/>
      <c r="AH43" s="158">
        <f>IFERROR(IF(INDEX(tblSRD[Shipping?],MATCH(B43,tblSRD[Menu Item],0))="Y",ROUNDDOWN($AG$21/INDEX(tblSRD[Units/cs],MATCH(B43,tblSRD[Menu Item],0)),0)*INDEX(tblSRD[Pct],MATCH(B43,tblSRD[Menu Item],0)),""),0)</f>
        <v>3.25</v>
      </c>
      <c r="AI43" s="41">
        <f>IFERROR(IF($AG$21&lt;0,IF(INDEX(tblSRD[Shipping?],MATCH(B43,tblSRD[Menu Item],0))="Y",ROUNDUP((ROUNDUP($AG$21/INDEX(tblSRD[Units/cs],MATCH(B43,tblSRD[Menu Item],0)),0)*-1)*INDEX(tblSRD[Pct],MATCH(B43,tblSRD[Menu Item],0)),0),""),0),0)</f>
        <v>0</v>
      </c>
      <c r="AJ43" s="168">
        <f>IFERROR(IF(AI43&lt;&gt;"",AI43*(INDEX(tblSRD[Units/cs],MATCH(B43,tblSRD[Menu Item],0))),""),0)</f>
        <v>0</v>
      </c>
      <c r="AK43" s="178"/>
      <c r="AL43" s="28"/>
      <c r="AM43" s="8"/>
      <c r="AN43" s="11"/>
      <c r="AO43" s="11"/>
      <c r="AP43" s="11"/>
      <c r="AQ43" s="90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3"/>
      <c r="BO43" s="12"/>
      <c r="BP43" s="12"/>
      <c r="BQ43" s="13"/>
      <c r="BR43" s="8"/>
      <c r="BS43" s="8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3"/>
      <c r="CW43" s="12"/>
      <c r="CX43" s="12"/>
      <c r="CY43" s="13"/>
    </row>
    <row r="44" spans="1:103" ht="9" customHeight="1" x14ac:dyDescent="0.2">
      <c r="A44" s="190"/>
      <c r="B44" s="19" t="s">
        <v>52</v>
      </c>
      <c r="C44" s="40">
        <f>IFERROR(IF(ROUNDDOWN((INDEX(IUpdate,MATCH($B44,IMenu,0),MATCH(C$2,IInst,0))*INDEX(tblSRD[Units/cs],MATCH($B44,tblSRD[Menu Item],0))),0)&gt;0,ROUNDDOWN((INDEX(IUpdate,MATCH($B44,IMenu,0),MATCH(C$2,IInst,0))*INDEX(tblSRD[Units/cs],MATCH($B44,tblSRD[Menu Item],0))),0),0),0)</f>
        <v>0</v>
      </c>
      <c r="D44" s="193"/>
      <c r="E44" s="187"/>
      <c r="F44" s="171"/>
      <c r="G44" s="171"/>
      <c r="H44" s="171"/>
      <c r="I44" s="171"/>
      <c r="J44" s="171"/>
      <c r="K44" s="175"/>
      <c r="L44" s="187"/>
      <c r="M44" s="171"/>
      <c r="N44" s="171"/>
      <c r="O44" s="171"/>
      <c r="P44" s="171"/>
      <c r="Q44" s="171"/>
      <c r="R44" s="175"/>
      <c r="S44" s="187"/>
      <c r="T44" s="171"/>
      <c r="U44" s="171"/>
      <c r="V44" s="171"/>
      <c r="W44" s="171"/>
      <c r="X44" s="171"/>
      <c r="Y44" s="175"/>
      <c r="Z44" s="187"/>
      <c r="AA44" s="171"/>
      <c r="AB44" s="171"/>
      <c r="AC44" s="171"/>
      <c r="AD44" s="171"/>
      <c r="AE44" s="171"/>
      <c r="AF44" s="175"/>
      <c r="AG44" s="182"/>
      <c r="AH44" s="158">
        <f>IFERROR(IF(INDEX(tblSRD[Shipping?],MATCH(B44,tblSRD[Menu Item],0))="Y",ROUNDDOWN($AG$21/INDEX(tblSRD[Units/cs],MATCH(B44,tblSRD[Menu Item],0)),0)*INDEX(tblSRD[Pct],MATCH(B44,tblSRD[Menu Item],0)),""),0)</f>
        <v>3.25</v>
      </c>
      <c r="AI44" s="41">
        <f>IFERROR(IF($AG$21&lt;0,IF(INDEX(tblSRD[Shipping?],MATCH(B44,tblSRD[Menu Item],0))="Y",ROUNDUP((ROUNDUP($AG$21/INDEX(tblSRD[Units/cs],MATCH(B44,tblSRD[Menu Item],0)),0)*-1)*INDEX(tblSRD[Pct],MATCH(B44,tblSRD[Menu Item],0)),0),""),0),0)</f>
        <v>0</v>
      </c>
      <c r="AJ44" s="164">
        <f>IFERROR(IF(AI44&lt;&gt;"",AI44*(INDEX(tblSRD[Units/cs],MATCH(B44,tblSRD[Menu Item],0))),""),0)</f>
        <v>0</v>
      </c>
      <c r="AK44" s="178"/>
      <c r="AL44" s="28"/>
      <c r="AM44" s="8"/>
      <c r="AN44" s="11"/>
      <c r="AO44" s="11"/>
      <c r="AP44" s="11"/>
      <c r="AQ44" s="90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3"/>
      <c r="BO44" s="12"/>
      <c r="BP44" s="12"/>
      <c r="BQ44" s="13"/>
      <c r="BR44" s="8"/>
      <c r="BS44" s="8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3"/>
      <c r="CW44" s="12"/>
      <c r="CX44" s="12"/>
      <c r="CY44" s="13"/>
    </row>
    <row r="45" spans="1:103" ht="9" customHeight="1" thickBot="1" x14ac:dyDescent="0.25">
      <c r="A45" s="191"/>
      <c r="B45" s="20" t="s">
        <v>50</v>
      </c>
      <c r="C45" s="43">
        <f>IFERROR(IF(ROUNDDOWN((INDEX(IUpdate,MATCH($B45,IMenu,0),MATCH(C$2,IInst,0))*INDEX(tblSRD[Units/cs],MATCH($B45,tblSRD[Menu Item],0))),0)&gt;0,ROUNDDOWN((INDEX(IUpdate,MATCH($B45,IMenu,0),MATCH(C$2,IInst,0))*INDEX(tblSRD[Units/cs],MATCH($B45,tblSRD[Menu Item],0))),0),0),0)</f>
        <v>0</v>
      </c>
      <c r="D45" s="196"/>
      <c r="E45" s="188"/>
      <c r="F45" s="173"/>
      <c r="G45" s="173"/>
      <c r="H45" s="173"/>
      <c r="I45" s="173"/>
      <c r="J45" s="173"/>
      <c r="K45" s="176"/>
      <c r="L45" s="188"/>
      <c r="M45" s="173"/>
      <c r="N45" s="173"/>
      <c r="O45" s="173"/>
      <c r="P45" s="173"/>
      <c r="Q45" s="173"/>
      <c r="R45" s="176"/>
      <c r="S45" s="188"/>
      <c r="T45" s="173"/>
      <c r="U45" s="173"/>
      <c r="V45" s="173"/>
      <c r="W45" s="173"/>
      <c r="X45" s="173"/>
      <c r="Y45" s="176"/>
      <c r="Z45" s="188"/>
      <c r="AA45" s="173"/>
      <c r="AB45" s="173"/>
      <c r="AC45" s="173"/>
      <c r="AD45" s="173"/>
      <c r="AE45" s="173"/>
      <c r="AF45" s="176"/>
      <c r="AG45" s="184"/>
      <c r="AH45" s="160">
        <f>IFERROR(IF(INDEX(tblSRD[Shipping?],MATCH(B45,tblSRD[Menu Item],0))="Y",ROUNDDOWN($AG$21/INDEX(tblSRD[Units/cs],MATCH(B45,tblSRD[Menu Item],0)),0)*INDEX(tblSRD[Pct],MATCH(B45,tblSRD[Menu Item],0)),""),0)</f>
        <v>3.25</v>
      </c>
      <c r="AI45" s="44">
        <f>IFERROR(IF($AG$21&lt;0,IF(INDEX(tblSRD[Shipping?],MATCH(B45,tblSRD[Menu Item],0))="Y",ROUNDUP((ROUNDUP($AG$21/INDEX(tblSRD[Units/cs],MATCH(B45,tblSRD[Menu Item],0)),0)*-1)*INDEX(tblSRD[Pct],MATCH(B45,tblSRD[Menu Item],0)),0),""),0),0)</f>
        <v>0</v>
      </c>
      <c r="AJ45" s="169">
        <f>IFERROR(IF(AI45&lt;&gt;"",AI45*(INDEX(tblSRD[Units/cs],MATCH(B45,tblSRD[Menu Item],0))),""),0)</f>
        <v>0</v>
      </c>
      <c r="AK45" s="185"/>
      <c r="AL45" s="28"/>
      <c r="AM45" s="8"/>
      <c r="AN45" s="11"/>
      <c r="AO45" s="11"/>
      <c r="AP45" s="11"/>
      <c r="AQ45" s="90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3"/>
      <c r="BO45" s="12"/>
      <c r="BP45" s="12"/>
      <c r="BQ45" s="13"/>
      <c r="BR45" s="8"/>
      <c r="BS45" s="8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3"/>
      <c r="CW45" s="12"/>
      <c r="CX45" s="12"/>
      <c r="CY45" s="13"/>
    </row>
    <row r="46" spans="1:103" ht="6.75" customHeight="1" thickBot="1" x14ac:dyDescent="0.25">
      <c r="A46" s="2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30"/>
    </row>
    <row r="48" spans="1:103" ht="9" customHeight="1" x14ac:dyDescent="0.2">
      <c r="AH48" s="89"/>
    </row>
    <row r="55" spans="43:46" ht="9" customHeight="1" x14ac:dyDescent="0.2">
      <c r="AQ55" s="91"/>
    </row>
    <row r="56" spans="43:46" ht="9" customHeight="1" x14ac:dyDescent="0.2">
      <c r="AQ56" s="91"/>
    </row>
    <row r="57" spans="43:46" ht="9" customHeight="1" x14ac:dyDescent="0.2">
      <c r="AQ57" s="91"/>
      <c r="AR57" s="45"/>
    </row>
    <row r="58" spans="43:46" ht="9" customHeight="1" x14ac:dyDescent="0.2">
      <c r="AQ58" s="91"/>
      <c r="AR58" s="45"/>
      <c r="AS58" s="46"/>
      <c r="AT58" s="46"/>
    </row>
    <row r="59" spans="43:46" ht="9" customHeight="1" x14ac:dyDescent="0.2">
      <c r="AQ59" s="91"/>
      <c r="AR59" s="45"/>
      <c r="AS59" s="46"/>
      <c r="AT59" s="46"/>
    </row>
    <row r="60" spans="43:46" ht="9" customHeight="1" x14ac:dyDescent="0.2">
      <c r="AQ60" s="91"/>
      <c r="AR60" s="45"/>
      <c r="AS60" s="46"/>
      <c r="AT60" s="46"/>
    </row>
    <row r="61" spans="43:46" ht="9" customHeight="1" x14ac:dyDescent="0.2">
      <c r="AQ61" s="91"/>
      <c r="AR61" s="45"/>
      <c r="AS61" s="46"/>
      <c r="AT61" s="46"/>
    </row>
    <row r="62" spans="43:46" ht="9" customHeight="1" x14ac:dyDescent="0.2">
      <c r="AQ62" s="91"/>
      <c r="AR62" s="45"/>
      <c r="AS62" s="46"/>
      <c r="AT62" s="46"/>
    </row>
    <row r="63" spans="43:46" ht="9" customHeight="1" x14ac:dyDescent="0.2">
      <c r="AQ63" s="91"/>
      <c r="AR63" s="45"/>
      <c r="AS63" s="46"/>
      <c r="AT63" s="46"/>
    </row>
    <row r="64" spans="43:46" ht="9" customHeight="1" x14ac:dyDescent="0.2">
      <c r="AQ64" s="91"/>
      <c r="AR64" s="45"/>
      <c r="AS64" s="46"/>
      <c r="AT64" s="46"/>
    </row>
    <row r="65" spans="44:46" ht="9" customHeight="1" x14ac:dyDescent="0.2">
      <c r="AR65" s="45"/>
      <c r="AS65" s="46"/>
      <c r="AT65" s="46"/>
    </row>
    <row r="66" spans="44:46" ht="9" customHeight="1" x14ac:dyDescent="0.2">
      <c r="AR66" s="45"/>
      <c r="AS66" s="46"/>
      <c r="AT66" s="47"/>
    </row>
    <row r="67" spans="44:46" ht="9" customHeight="1" x14ac:dyDescent="0.2">
      <c r="AR67" s="45"/>
      <c r="AS67" s="46"/>
      <c r="AT67" s="47"/>
    </row>
    <row r="68" spans="44:46" ht="9" customHeight="1" x14ac:dyDescent="0.2">
      <c r="AR68" s="45"/>
      <c r="AS68" s="46"/>
      <c r="AT68" s="47"/>
    </row>
    <row r="69" spans="44:46" ht="9" customHeight="1" x14ac:dyDescent="0.2">
      <c r="AR69" s="45"/>
      <c r="AS69" s="46"/>
      <c r="AT69" s="47"/>
    </row>
  </sheetData>
  <mergeCells count="65">
    <mergeCell ref="A21:A45"/>
    <mergeCell ref="A11:A20"/>
    <mergeCell ref="A5:A10"/>
    <mergeCell ref="Q21:Q45"/>
    <mergeCell ref="R21:R45"/>
    <mergeCell ref="D11:D20"/>
    <mergeCell ref="E11:E20"/>
    <mergeCell ref="E21:E45"/>
    <mergeCell ref="D21:D45"/>
    <mergeCell ref="F21:F45"/>
    <mergeCell ref="F11:F20"/>
    <mergeCell ref="S21:S45"/>
    <mergeCell ref="O21:O45"/>
    <mergeCell ref="P21:P45"/>
    <mergeCell ref="G11:G20"/>
    <mergeCell ref="L21:L45"/>
    <mergeCell ref="M21:M45"/>
    <mergeCell ref="N21:N45"/>
    <mergeCell ref="H11:H20"/>
    <mergeCell ref="I11:I20"/>
    <mergeCell ref="G21:G45"/>
    <mergeCell ref="H21:H45"/>
    <mergeCell ref="I21:I45"/>
    <mergeCell ref="J21:J45"/>
    <mergeCell ref="K21:K45"/>
    <mergeCell ref="S11:S20"/>
    <mergeCell ref="T11:T20"/>
    <mergeCell ref="K11:K20"/>
    <mergeCell ref="L11:L20"/>
    <mergeCell ref="M11:M20"/>
    <mergeCell ref="O11:O20"/>
    <mergeCell ref="P11:P20"/>
    <mergeCell ref="Q11:Q20"/>
    <mergeCell ref="R11:R20"/>
    <mergeCell ref="AG21:AG45"/>
    <mergeCell ref="AK21:AK45"/>
    <mergeCell ref="AE21:AE45"/>
    <mergeCell ref="AF21:AF45"/>
    <mergeCell ref="Z21:Z45"/>
    <mergeCell ref="AA21:AA45"/>
    <mergeCell ref="AD21:AD45"/>
    <mergeCell ref="AK11:AK20"/>
    <mergeCell ref="AF11:AF20"/>
    <mergeCell ref="AG11:AG20"/>
    <mergeCell ref="AE11:AE20"/>
    <mergeCell ref="Y11:Y20"/>
    <mergeCell ref="Z11:Z20"/>
    <mergeCell ref="AA11:AA20"/>
    <mergeCell ref="AD11:AD20"/>
    <mergeCell ref="X11:X20"/>
    <mergeCell ref="J11:J20"/>
    <mergeCell ref="U21:U45"/>
    <mergeCell ref="AB11:AB20"/>
    <mergeCell ref="AC11:AC20"/>
    <mergeCell ref="V21:V45"/>
    <mergeCell ref="W21:W45"/>
    <mergeCell ref="X21:X45"/>
    <mergeCell ref="Y21:Y45"/>
    <mergeCell ref="AB21:AB45"/>
    <mergeCell ref="AC21:AC45"/>
    <mergeCell ref="U11:U20"/>
    <mergeCell ref="V11:V20"/>
    <mergeCell ref="W11:W20"/>
    <mergeCell ref="N11:N20"/>
    <mergeCell ref="T21:T45"/>
  </mergeCells>
  <dataValidations count="1">
    <dataValidation type="list" allowBlank="1" showInputMessage="1" showErrorMessage="1" sqref="C2" xr:uid="{809914A2-F6FF-44DE-AA32-ED007033AD47}">
      <formula1>IInst</formula1>
    </dataValidation>
  </dataValidations>
  <pageMargins left="0.25" right="0.25" top="0.25" bottom="0.25" header="0.3" footer="0.3"/>
  <pageSetup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Info Page</vt:lpstr>
      <vt:lpstr>Inv Updates</vt:lpstr>
      <vt:lpstr>Usage</vt:lpstr>
      <vt:lpstr>IDate</vt:lpstr>
      <vt:lpstr>IInst</vt:lpstr>
      <vt:lpstr>IMenu</vt:lpstr>
      <vt:lpstr>IPop</vt:lpstr>
      <vt:lpstr>IUpdate</vt:lpstr>
      <vt:lpstr>Usage!OutDate</vt:lpstr>
      <vt:lpstr>SchedFreq</vt:lpstr>
      <vt:lpstr>Usage!StartInv</vt:lpstr>
    </vt:vector>
  </TitlesOfParts>
  <Company>Virginia IT Infrastructure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 Program</dc:creator>
  <cp:lastModifiedBy>Steven Yanoska</cp:lastModifiedBy>
  <cp:lastPrinted>2024-05-14T19:22:53Z</cp:lastPrinted>
  <dcterms:created xsi:type="dcterms:W3CDTF">2022-10-13T17:45:33Z</dcterms:created>
  <dcterms:modified xsi:type="dcterms:W3CDTF">2025-06-29T15:18:41Z</dcterms:modified>
</cp:coreProperties>
</file>